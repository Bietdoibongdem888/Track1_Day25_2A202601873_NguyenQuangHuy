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b428dbaec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fd1837c90fcf4bf8"/>
    <x:sheet xmlns:r="http://schemas.openxmlformats.org/officeDocument/2006/relationships" name="1_Cost_Job" sheetId="2" r:id="R14230b8d0c314e90"/>
    <x:sheet xmlns:r="http://schemas.openxmlformats.org/officeDocument/2006/relationships" name="2_Pricing" sheetId="3" r:id="R79351e2e359246cc"/>
    <x:sheet xmlns:r="http://schemas.openxmlformats.org/officeDocument/2006/relationships" name="3_Value_Metric" sheetId="4" r:id="Ra5995ebd53854594"/>
    <x:sheet xmlns:r="http://schemas.openxmlformats.org/officeDocument/2006/relationships" name="4_Channel_Fit" sheetId="5" r:id="Reb77f9484e1d4d62"/>
    <x:sheet xmlns:r="http://schemas.openxmlformats.org/officeDocument/2006/relationships" name="5_90Day_Plan" sheetId="6" r:id="R647de15ee08f4df1"/>
    <x:sheet xmlns:r="http://schemas.openxmlformats.org/officeDocument/2006/relationships" name="6_Benchmarks" sheetId="7" r:id="R4ccf786d76e54a6e"/>
  </x:sheets>
</x:workbook>
</file>

<file path=xl/comments1.xml><?xml version="1.0" encoding="utf-8"?>
<x:comments xmlns:x="http://schemas.openxmlformats.org/spreadsheetml/2006/main">
  <x:authors>
    <x:author>Unknown Author</x:author>
    <x:author>tc={55683251-6F28-A989-BF66-4CB900EF4B7E}</x:author>
    <x:author>tc={D5542F5F-D193-F250-1A57-CA30DE540E10}</x:author>
    <x:author>tc={19F201DB-15CC-F1E4-AF94-05E02D4CAA81}</x:author>
    <x:author>tc={9B91AA1D-07E4-90F0-B26C-1EC6A6437FA4}</x:author>
    <x:author>tc={B83CA712-DA05-A71A-09C3-E569F3EDC338}</x:author>
    <x:author>tc={A6DE1C1D-EEAA-FC61-20E0-811155B88A94}</x:author>
    <x:author>tc={0539C0B9-A349-AA1C-1B58-1F0B14C3D420}</x:author>
    <x:author>tc={83AD1196-827F-E136-75E1-9C21B2E4F1A8}</x:author>
  </x:authors>
  <x:commentList>
    <x:comment ref="B5" authorId="0">
      <x:text>
        <x:r>
          <x:t>Ví dụ mẫu đang điền sẵn — thay bằng sản phẩm của bạn.</x:t>
        </x:r>
      </x:text>
    </x:comment>
    <x:comment ref="B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LOCAL CONTROLLED EVAL: autonomous containment = 1/5 = 20%. Commercial package completion = 4/5 = 80% is kept separate in evidence/containment-eval.md.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CURRENT FIRST-PARTY SOURCE checked 2026-08-27: OpenAI GPT-5.6 Sol Standard short-context input = $4.00 / 1M tokens; current promotional/list distinction documented in evidence/pricing-sources.md.</x:t>
        </x:r>
      </x:text>
    </x:comment>
    <x:comment ref="B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CURRENT FIRST-PARTY SOURCE checked 2026-08-27: GPT-5.6 Sol cache writes = $5.00 / 1M tokens (1.25x standard input).</x:t>
        </x:r>
      </x:text>
    </x:comment>
    <x:comment ref="B1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CURRENT FIRST-PARTY SOURCE checked 2026-08-27: GPT-5.6 Sol cached input = $0.40 / 1M tokens.</x:t>
        </x:r>
      </x:text>
    </x:comment>
    <x:comment ref="B4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- NOT PRODUCTION MEASUREMENT: $0.005 per attempt allocation for retrieval, embedding/vector DB, storage, logging and app/runtime reserve.</x:t>
        </x:r>
      </x:text>
    </x:comment>
    <x:comment ref="B4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- NOT PRODUCTION MEASUREMENT: 8% retry rate retained until retry telemetry is instrumented.</x:t>
        </x:r>
      </x:text>
    </x:comment>
    <x:comment ref="B5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ASSUMPTION: $9.58/hour derived from 250,000 VND/hour fully-loaded reviewer rate divided by 26,095.90 VND/USD FX.</x:t>
        </x:r>
      </x:text>
    </x:comment>
    <x:comment ref="B6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CURRENT PLANNING FX checked 2026-08-27: 26,095.90 VND/USD mid-market, XE. See evidence/pricing-sources.md.</x:t>
        </x:r>
      </x:text>
    </x:comment>
  </x:commentList>
</x:comments>
</file>

<file path=xl/comments2.xml><?xml version="1.0" encoding="utf-8"?>
<x:comments xmlns:x="http://schemas.openxmlformats.org/spreadsheetml/2006/main">
  <x:authors>
    <x:author>tc={E5C1AE1D-AB1C-6432-F93D-9C4A6DEAC79E}</x:author>
    <x:author>tc={340EBA11-F801-EFBA-B915-6A3BB7F15ABD}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pricing denominator aligned to completed autonomous jobs/month from 1_Cost_Job!B11 = 600; attempts and non-contained cases remain separate.</x:t>
        </x:r>
      </x:text>
    </x:comment>
    <x:comment ref="B1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price selected at $1.75/job: above the official 3x floor, within the 70% labor anchor, and bounded by current outcome/resolution benchmarks; not a customer quote.</x:t>
        </x:r>
      </x:text>
    </x:comment>
  </x:commentList>
</x:comments>
</file>

<file path=xl/comments3.xml><?xml version="1.0" encoding="utf-8"?>
<x:comments xmlns:x="http://schemas.openxmlformats.org/spreadsheetml/2006/main">
  <x:authors>
    <x:author>tc={F371350A-15CF-AD06-5AB0-4A372C1A3205}</x:author>
    <x:author>tc={F353D739-E0BE-AAE6-3B7F-D06CB9F365D5}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0-2 score: no production job log linked to final customer disposition is verified.</x:t>
        </x:r>
      </x:text>
    </x:comment>
    <x:comment ref="B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0-2 score: end-to-end autonomous completion is not current state; local autonomous containment is 1/5.</x:t>
        </x:r>
      </x:text>
    </x:comment>
  </x:commentList>
</x:comments>
</file>

<file path=xl/comments4.xml><?xml version="1.0" encoding="utf-8"?>
<x:comments xmlns:x="http://schemas.openxmlformats.org/spreadsheetml/2006/main">
  <x:authors>
    <x:author>tc={F9A50CBB-2ACF-816E-5452-29C627E0FEA0}</x:author>
    <x:author>tc={87057D31-C470-2F67-7BE1-1A9156728D2F}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 input for official Channel Fit: $1,050/month = $1.75/job x 600 completed autonomous jobs/month. Pure usage scenario; Hybrid recommendation is documented separately.</x:t>
        </x:r>
      </x:text>
    </x:comment>
    <x:comment ref="B2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- NOT CRM MEASUREMENT: $3,000 cost per opportunity for the founder-led first-90-day design-partner motion; this is below the displayed enterprise benchmark and must be replaced after pilot funnel data.</x:t>
        </x:r>
      </x:text>
    </x:comment>
  </x:commentList>
</x:comments>
</file>

<file path=xl/comments5.xml><?xml version="1.0" encoding="utf-8"?>
<x:comments xmlns:x="http://schemas.openxmlformats.org/spreadsheetml/2006/main">
  <x:authors>
    <x:author>tc={F5606583-4C91-65C0-82DD-757723FA837A}</x:author>
  </x:authors>
  <x:commentList>
    <x:comment ref="B2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Evidence status is intentionally PARTIAL: local controlled evidence exists, but no customer pilot or production telemetry.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<x:sst xmlns:x="http://schemas.openxmlformats.org/spreadsheetml/2006/main">
  <x:si>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</x:si>
  <x:si>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</x:si>
  <x:si>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</x:si>
  <x:si>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</x:si>
  <x:si>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</x:si>
  <x:si>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</x:si>
  <x:si>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</x:si>
  <x:si>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</x:si>
  <x:si>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</x:si>
  <x:si>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</x:si>
  <x:si>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</x:si>
  <x:si>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</x:si>
  <x:si>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</x:si>
  <x:si>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</x:si>
  <x:si>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</x:si>
  <x:si>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</x:si>
  <x:si>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</x:si>
  <x:si>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</x:si>
  <x:si>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</x:si>
  <x:si>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</x:si>
  <x:si>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</x:si>
  <x:si>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</x:si>
  <x:si>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</x:si>
  <x:si>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</x:si>
  <x:si>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</x:si>
  <x:si>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</x:si>
  <x:si>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</x:si>
  <x:si>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</x:si>
  <x:si>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</x:si>
  <x:si>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</x:si>
  <x:si>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</x:si>
  <x:si>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</x:si>
  <x:si>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</x:si>
  <x:si>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</x:si>
  <x:si>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</x:si>
  <x:si>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</x:si>
  <x:si>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</x:si>
  <x:si>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</x:si>
  <x:si>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</x:si>
  <x:si>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</x:si>
  <x:si>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</x:si>
  <x:si>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Lấy từ eval Day 21–22. 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</x:si>
  <x:si>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</x:si>
  <x:si>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</x:si>
  <x:si>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</x:si>
  <x:si>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</x:si>
  <x:si>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</x:si>
  <x:si>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</x:si>
  <x:si>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Claude Haiku 4.5 — xem tab 6_Benchmarks</x:t>
  </x:si>
  <x:si>
    <x:t xml:space="preserve">Giá output ($ / 1M token)</x:t>
  </x:si>
  <x:si>
    <x:t xml:space="preserve">Giá cache WRITE ($ / 1M token)</x:t>
  </x:si>
  <x:si>
    <x:t xml:space="preserve">Anthropic 5-phút = 1,25× input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</x:si>
  <x:si>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</x:si>
  <x:si>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</x:si>
  <x:si>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</x:si>
  <x:si>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</x:si>
  <x:si>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</x:si>
  <x:si>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</x:si>
  <x:si>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</x:si>
  <x:si>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</x:si>
  <x:si>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</x:si>
  <x:si>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</x:si>
  <x:si>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</x:si>
  <x:si>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</x:si>
  <x:si>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</x:si>
  <x:si>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</x:si>
  <x:si>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</x:si>
  <x:si>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</x:si>
  <x:si>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</x:si>
  <x:si>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</x:si>
  <x:si>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</x:si>
  <x:si>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</x:si>
  <x:si>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</x:si>
  <x:si>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</x:si>
  <x:si>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</x:si>
  <x:si>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</x:si>
  <x:si>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</x:si>
  <x:si>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</x:si>
  <x:si>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</x:si>
  <x:si>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</x:si>
  <x:si>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</x:si>
  <x:si>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</x:si>
  <x:si>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</x:si>
  <x:si>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</x:si>
  <x:si>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</x:si>
  <x:si>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</x:si>
  <x:si>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Vector DB, embedding, storage, logging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</x:si>
  <x:si>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</x:si>
  <x:si>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</x:si>
  <x:si>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</x:si>
  <x:si>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</x:si>
  <x:si>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ĐỪNG để 0%. Thực tế 5–10% là bình thường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</x:si>
  <x:si>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</x:si>
  <x:si>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</x:si>
  <x:si>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</x:si>
  <x:si>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</x:si>
  <x:si>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</x:si>
  <x:si>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</x:si>
  <x:si>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</x:si>
  <x:si>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</x:si>
  <x:si>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</x:si>
  <x:si>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</x:si>
  <x:si>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</x:si>
  <x:si>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</x:si>
  <x:si>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</x:si>
  <x:si>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</x:si>
  <x:si>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Để 0 nếu chỉ muốn xem Cost/Job thuần COGS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</x:si>
  <x:si>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</x:si>
  <x:si>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</x:si>
  <x:si>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</x:si>
  <x:si>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</x:si>
  <x:si>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</x:si>
  <x:si>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</x:si>
  <x:si>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</x:si>
  <x:si>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</x:si>
  <x:si>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</x:si>
  <x:si>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</x:si>
  <x:si>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</x:si>
  <x:si>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Thay bằng tỷ giá thực tế khi làm bài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</x:si>
  <x:si>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</x:si>
  <x:si>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</x:si>
  <x:si>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</x:si>
  <x:si>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</x:si>
  <x:si>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</x:si>
  <x:si>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</x:si>
  <x:si>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</x:si>
  <x:si>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</x:si>
  <x:si>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</x:si>
  <x:si>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</x:si>
  <x:si>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</x:si>
  <x:si>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</x:si>
  <x:si>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</x:si>
  <x:si>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</x:si>
  <x:si>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</x:si>
  <x:si>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</x:si>
  <x:si>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Chuẩn Day 28: 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</x:si>
  <x:si>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</x:si>
  <x:si>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</x:si>
  <x:si>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</x:si>
  <x:si>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Neo theo giá trị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</x:si>
  <x:si>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</x:si>
  <x:si>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</x:si>
  <x:si>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</x:si>
  <x:si>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</x:si>
  <x:si>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Neo theo nhân công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</x:si>
  <x:si>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</x:si>
  <x:si>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</x:si>
  <x:si>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</x:si>
  <x:si>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</x:si>
  <x:si>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Tham chiếu: Intercom Fin $0,99 · Zendesk $1,50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</x:si>
  <x:si>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</x:si>
  <x:si>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</x:si>
  <x:si>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</x:si>
  <x:si>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</x:si>
  <x:si>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</x:si>
  <x:si>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</x:si>
  <x:si>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</x:si>
  <x:si>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</x:si>
  <x:si>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</x:si>
  <x:si>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</x:si>
  <x:si>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</x:si>
  <x:si>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</x:si>
  <x:si>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</x:si>
  <x:si>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</x:si>
  <x:si>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</x:si>
  <x:si>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</x:si>
  <x:si>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</x:si>
  <x:si>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</x:si>
  <x:si>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</x:si>
  <x:si>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</x:si>
  <x:si>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</x:si>
  <x:si>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</x:si>
  <x:si>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</x:si>
  <x:si>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</x:si>
  <x:si>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</x:si>
  <x:si>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</x:si>
  <x:si>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</x:si>
  <x:si>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</x:si>
  <x:si>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</x:si>
  <x:si>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</x:si>
  <x:si>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(Day 21–22)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</x:si>
  <x:si>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</x:si>
  <x:si>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</x:si>
  <x:si>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</x:si>
  <x:si>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</x:si>
  <x:si>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</x:si>
  <x:si>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</x:si>
  <x:si>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</x:si>
  <x:si>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</x:si>
  <x:si>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</x:si>
  <x:si>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</x:si>
  <x:si>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</x:si>
  <x:si>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</x:si>
  <x:si>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</x:si>
  <x:si>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</x:si>
  <x:si>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</x:si>
  <x:si>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</x:si>
  <x:si>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</x:si>
  <x:si>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</x:si>
  <x:si>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</x:si>
  <x:si>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</x:si>
  <x:si>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</x:si>
  <x:si>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</x:si>
  <x:si>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</x:si>
  <x:si>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</x:si>
  <x:si>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</x:si>
  <x:si>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</x:si>
  <x:si>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</x:si>
  <x:si>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</x:si>
  <x:si>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</x:si>
  <x:si>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</x:si>
  <x:si>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</x:si>
  <x:si>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</x:si>
  <x:si>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</x:si>
  <x:si>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</x:si>
  <x:si>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</x:si>
  <x:si>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</x:si>
  <x:si>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</x:si>
  <x:si>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</x:si>
  <x:si>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</x:si>
  <x:si>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</x:si>
  <x:si>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</x:si>
  <x:si>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</x:si>
  <x:si>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</x:si>
  <x:si>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</x:si>
  <x:si>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</x:si>
  <x:si>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</x:si>
  <x:si>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</x:si>
  <x:si>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</x:si>
  <x:si>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</x:si>
  <x:si>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</x:si>
  <x:si>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</x:si>
  <x:si>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</x:si>
  <x:si>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</x:si>
  <x:si>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</x:si>
  <x:si>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</x:si>
  <x:si>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</x:si>
  <x:si>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</x:si>
  <x:si>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</x:si>
  <x:si>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</x:si>
  <x:si>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</x:si>
  <x:si>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</x:si>
  <x:si>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</x:si>
  <x:si>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</x:si>
  <x:si>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</x:si>
  <x:si>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</x:si>
  <x:si>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</x:si>
  <x:si>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</x:si>
  <x:si>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</x:si>
  <x:si>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</x:si>
  <x:si>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</x:si>
  <x:si>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</x:si>
  <x:si>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</x:si>
  <x:si>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</x:si>
  <x:si>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</x:si>
  <x:si>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</x:si>
  <x:si>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</x:si>
  <x:si>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</x:si>
  <x:si>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</x:si>
  <x:si>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</x:si>
  <x:si>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</x:si>
  <x:si>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</x:si>
  <x:si>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</x:si>
  <x:si>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</x:si>
  <x:si>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</x:si>
  <x:si>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</x:si>
  <x:si>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</x:si>
  <x:si>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</x:si>
  <x:si>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</x:si>
  <x:si>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</x:si>
  <x:si>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</x:si>
  <x:si>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</x:si>
  <x:si>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</x:si>
  <x:si>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</x:si>
  <x:si>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</x:si>
  <x:si>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</x:si>
  <x:si>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</x:si>
  <x:si>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</x:si>
  <x:si>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</x:si>
  <x:si>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</x:si>
  <x:si>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</x:si>
  <x:si>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(Day 21–22)</x:t>
  </x:si>
  <x:si>
    <x:t xml:space="preserve">2. Risk Checklist (Day 24)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</x:si>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</x:sst>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#,##0"/>
    <x:numFmt numFmtId="166" formatCode="0.0%"/>
    <x:numFmt numFmtId="167" formatCode="\$#,##0.00"/>
    <x:numFmt numFmtId="168" formatCode="\$#,##0.0000"/>
    <x:numFmt numFmtId="169" formatCode="#,##0.0"/>
    <x:numFmt numFmtId="170" formatCode="#,##0&quot; ₫&quot;"/>
    <x:numFmt numFmtId="171" formatCode="\$#,##0"/>
    <x:numFmt numFmtId="172" formatCode="#,##0.0\×"/>
    <x:numFmt numFmtId="173" formatCode="#,##0.0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1"/>
      <x:color rgb="FFC0000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E8EAF6"/>
      </x:patternFill>
    </x:fill>
  </x:fills>
  <x:borders count="2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3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3" borderId="1" xfId="0" applyFont="1" applyBorder="1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4" fontId="8" fillId="5" borderId="1" xfId="0" applyFont="1" applyBorder="1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6" fillId="6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7" fillId="3" borderId="1" xfId="0" applyFont="1" applyBorder="1" applyAlignment="1">
      <x:alignment horizontal="center" vertical="bottom" wrapText="0"/>
    </x:xf>
    <x:xf numFmtId="165" fontId="7" fillId="3" borderId="1" xfId="0" applyFont="1" applyBorder="1" applyAlignment="0">
      <x:alignment horizontal="general" vertical="bottom" wrapText="0"/>
    </x:xf>
    <x:xf numFmtId="166" fontId="7" fillId="3" borderId="1" xfId="0" applyFont="1" applyBorder="1" applyAlignment="0">
      <x:alignment horizontal="general" vertical="bottom" wrapText="0"/>
    </x:xf>
    <x:xf numFmtId="165" fontId="8" fillId="4" borderId="1" xfId="0" applyFont="1" applyBorder="1" applyAlignment="0">
      <x:alignment horizontal="general" vertical="bottom" wrapText="0"/>
    </x:xf>
    <x:xf numFmtId="167" fontId="7" fillId="3" borderId="1" xfId="0" applyFont="1" applyBorder="1" applyAlignment="0">
      <x:alignment horizontal="general" vertical="bottom" wrapText="0"/>
    </x:xf>
    <x:xf numFmtId="168" fontId="8" fillId="4" borderId="1" xfId="0" applyFont="1" applyBorder="1" applyAlignment="0">
      <x:alignment horizontal="general" vertical="bottom" wrapText="0"/>
    </x:xf>
    <x:xf numFmtId="168" fontId="11" fillId="4" borderId="1" xfId="0" applyFont="1" applyBorder="1" applyAlignment="0">
      <x:alignment horizontal="general" vertical="bottom" wrapText="0"/>
    </x:xf>
    <x:xf numFmtId="166" fontId="8" fillId="4" borderId="1" xfId="0" applyFont="1" applyBorder="1" applyAlignment="0">
      <x:alignment horizontal="general" vertical="bottom" wrapText="0"/>
    </x:xf>
    <x:xf numFmtId="168" fontId="7" fillId="3" borderId="1" xfId="0" applyFont="1" applyBorder="1" applyAlignment="0">
      <x:alignment horizontal="general" vertical="bottom" wrapText="0"/>
    </x:xf>
    <x:xf numFmtId="169" fontId="7" fillId="3" borderId="1" xfId="0" applyFont="1" applyBorder="1" applyAlignment="0">
      <x:alignment horizontal="general" vertical="bottom" wrapText="0"/>
    </x:xf>
    <x:xf numFmtId="167" fontId="8" fillId="4" borderId="1" xfId="0" applyFont="1" applyBorder="1" applyAlignment="0">
      <x:alignment horizontal="general" vertical="bottom" wrapText="0"/>
    </x:xf>
    <x:xf numFmtId="167" fontId="11" fillId="4" borderId="1" xfId="0" applyFont="1" applyBorder="1" applyAlignment="0">
      <x:alignment horizontal="general" vertical="bottom" wrapText="0"/>
    </x:xf>
    <x:xf numFmtId="170" fontId="8" fillId="4" borderId="1" xfId="0" applyFont="1" applyBorder="1" applyAlignment="0">
      <x:alignment horizontal="general" vertical="bottom" wrapText="0"/>
    </x:xf>
    <x:xf numFmtId="168" fontId="9" fillId="4" borderId="1" xfId="0" applyFont="1" applyBorder="1" applyAlignment="0">
      <x:alignment horizontal="general" vertical="bottom" wrapText="0"/>
    </x:xf>
    <x:xf numFmtId="171" fontId="7" fillId="3" borderId="1" xfId="0" applyFont="1" applyBorder="1" applyAlignment="0">
      <x:alignment horizontal="general" vertical="bottom" wrapText="0"/>
    </x:xf>
    <x:xf numFmtId="172" fontId="8" fillId="4" borderId="1" xfId="0" applyFont="1" applyBorder="1" applyAlignment="0">
      <x:alignment horizontal="general" vertical="bottom" wrapText="0"/>
    </x:xf>
    <x:xf numFmtId="166" fontId="11" fillId="4" borderId="1" xfId="0" applyFont="1" applyBorder="1" applyAlignment="0">
      <x:alignment horizontal="general" vertical="bottom" wrapText="0"/>
    </x:xf>
    <x:xf numFmtId="166" fontId="9" fillId="4" borderId="1" xfId="0" applyFont="1" applyBorder="1" applyAlignment="0">
      <x:alignment horizontal="general" vertical="bottom" wrapText="0"/>
    </x:xf>
    <x:xf numFmtId="164" fontId="10" fillId="5" borderId="1" xfId="0" applyFont="1" applyBorder="1" applyAlignment="0">
      <x:alignment horizontal="general" vertical="bottom" wrapText="0"/>
    </x:xf>
    <x:xf numFmtId="166" fontId="8" fillId="5" borderId="1" xfId="0" applyFont="1" applyBorder="1" applyAlignment="0">
      <x:alignment horizontal="general" vertical="bottom" wrapText="0"/>
    </x:xf>
    <x:xf numFmtId="165" fontId="11" fillId="4" borderId="1" xfId="0" applyFont="1" applyBorder="1" applyAlignment="0">
      <x:alignment horizontal="general" vertical="bottom" wrapText="0"/>
    </x:xf>
    <x:xf numFmtId="164" fontId="11" fillId="4" borderId="1" xfId="0" applyFont="1" applyBorder="1" applyAlignment="0">
      <x:alignment horizontal="general" vertical="bottom" wrapText="0"/>
    </x:xf>
    <x:xf numFmtId="171" fontId="11" fillId="4" borderId="1" xfId="0" applyFont="1" applyBorder="1" applyAlignment="0">
      <x:alignment horizontal="general" vertical="bottom" wrapText="0"/>
    </x:xf>
    <x:xf numFmtId="171" fontId="8" fillId="4" borderId="1" xfId="0" applyFont="1" applyBorder="1" applyAlignment="0">
      <x:alignment horizontal="general" vertical="bottom" wrapText="0"/>
    </x:xf>
    <x:xf numFmtId="173" fontId="11" fillId="4" borderId="1" xfId="0" applyFont="1" applyBorder="1" applyAlignment="0">
      <x:alignment horizontal="general" vertical="bottom" wrapText="0"/>
    </x:xf>
    <x:xf numFmtId="172" fontId="11" fillId="4" borderId="1" xfId="0" applyFont="1" applyBorder="1" applyAlignment="0">
      <x:alignment horizontal="general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13" fillId="2" borderId="1" xfId="0" applyFont="1" applyBorder="1" applyAlignment="0">
      <x:alignment horizontal="general" vertical="bottom" wrapText="0"/>
    </x:xf>
    <x:xf numFmtId="164" fontId="8" fillId="5" borderId="1" xfId="0" applyFont="1" applyBorder="1" applyAlignment="1">
      <x:alignment horizontal="general" vertical="top" wrapText="0"/>
    </x:xf>
    <x:xf numFmtId="164" fontId="5" fillId="5" borderId="1" xfId="0" applyFont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EAF6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DEDED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c22d608484375" /><Relationship Type="http://schemas.openxmlformats.org/officeDocument/2006/relationships/theme" Target="/xl/theme/theme1.xml" Id="R61a29a189b9e4190" /><Relationship Type="http://schemas.openxmlformats.org/officeDocument/2006/relationships/sharedStrings" Target="/xl/sharedStrings.xml" Id="Re916e9a5061243ed" /><Relationship Type="http://schemas.openxmlformats.org/officeDocument/2006/relationships/worksheet" Target="/xl/worksheets/sheet1.xml" Id="Rfd1837c90fcf4bf8" /><Relationship Type="http://schemas.openxmlformats.org/officeDocument/2006/relationships/worksheet" Target="/xl/worksheets/sheet2.xml" Id="R14230b8d0c314e90" /><Relationship Type="http://schemas.openxmlformats.org/officeDocument/2006/relationships/worksheet" Target="/xl/worksheets/sheet3.xml" Id="R79351e2e359246cc" /><Relationship Type="http://schemas.openxmlformats.org/officeDocument/2006/relationships/worksheet" Target="/xl/worksheets/sheet4.xml" Id="Ra5995ebd53854594" /><Relationship Type="http://schemas.openxmlformats.org/officeDocument/2006/relationships/worksheet" Target="/xl/worksheets/sheet5.xml" Id="Reb77f9484e1d4d62" /><Relationship Type="http://schemas.openxmlformats.org/officeDocument/2006/relationships/worksheet" Target="/xl/worksheets/sheet6.xml" Id="R647de15ee08f4df1" /><Relationship Type="http://schemas.openxmlformats.org/officeDocument/2006/relationships/worksheet" Target="/xl/worksheets/sheet7.xml" Id="R4ccf786d76e54a6e" /><Relationship Type="http://schemas.microsoft.com/office/2017/10/relationships/person" Target="/xl/persons/person.xml" Id="R35d2cdb4676f4f82" /></Relationships>
</file>

<file path=xl/persons/person.xml><?xml version="1.0" encoding="utf-8"?>
<xltc:personList xmlns:xltc="http://schemas.microsoft.com/office/spreadsheetml/2018/threadedcomments">
  <xltc:person displayName="Nguyen Quang Huy" id="{A237547C-9235-47E7-85C1-F4C0C0F9E858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27T05:13:29.918" personId="{A237547C-9235-47E7-85C1-F4C0C0F9E858}" id="{5461ED35-0C87-A58B-6BFE-87AD5EF8F858}">
    <xltc:text>Official job definition: customer-valued investigation package; final disposition remains customer-owned.</xltc:text>
  </xltc:threadedComment>
  <xltc:threadedComment ref="B10" dT="2026-08-27T05:13:29.919" personId="{A237547C-9235-47E7-85C1-F4C0C0F9E858}" id="{55683251-6F28-A989-BF66-4CB900EF4B7E}">
    <xltc:text>LOCAL CONTROLLED EVAL: autonomous containment = 1/5 = 20%. Commercial package completion = 4/5 = 80% is kept separate in evidence/containment-eval.md.</xltc:text>
  </xltc:threadedComment>
  <xltc:threadedComment ref="B15" dT="2026-08-27T05:13:29.919" personId="{A237547C-9235-47E7-85C1-F4C0C0F9E858}" id="{D5542F5F-D193-F250-1A57-CA30DE540E10}">
    <xltc:text>CURRENT FIRST-PARTY SOURCE checked 2026-08-27: OpenAI GPT-5.6 Sol Standard short-context input = $4.00 / 1M tokens; current promotional/list distinction documented in evidence/pricing-sources.md.</xltc:text>
  </xltc:threadedComment>
  <xltc:threadedComment ref="B17" dT="2026-08-27T05:13:29.919" personId="{A237547C-9235-47E7-85C1-F4C0C0F9E858}" id="{19F201DB-15CC-F1E4-AF94-05E02D4CAA81}">
    <xltc:text>CURRENT FIRST-PARTY SOURCE checked 2026-08-27: GPT-5.6 Sol cache writes = $5.00 / 1M tokens (1.25x standard input).</xltc:text>
  </xltc:threadedComment>
  <xltc:threadedComment ref="B18" dT="2026-08-27T05:13:29.919" personId="{A237547C-9235-47E7-85C1-F4C0C0F9E858}" id="{9B91AA1D-07E4-90F0-B26C-1EC6A6437FA4}">
    <xltc:text>CURRENT FIRST-PARTY SOURCE checked 2026-08-27: GPT-5.6 Sol cached input = $0.40 / 1M tokens.</xltc:text>
  </xltc:threadedComment>
  <xltc:threadedComment ref="B41" dT="2026-08-27T05:13:29.919" personId="{A237547C-9235-47E7-85C1-F4C0C0F9E858}" id="{B83CA712-DA05-A71A-09C3-E569F3EDC338}">
    <xltc:text>PLANNING ASSUMPTION - NOT PRODUCTION MEASUREMENT: $0.005 per attempt allocation for retrieval, embedding/vector DB, storage, logging and app/runtime reserve.</xltc:text>
  </xltc:threadedComment>
  <xltc:threadedComment ref="B46" dT="2026-08-27T05:13:29.919" personId="{A237547C-9235-47E7-85C1-F4C0C0F9E858}" id="{A6DE1C1D-EEAA-FC61-20E0-811155B88A94}">
    <xltc:text>PLANNING ASSUMPTION - NOT PRODUCTION MEASUREMENT: 8% retry rate retained until retry telemetry is instrumented.</xltc:text>
  </xltc:threadedComment>
  <xltc:threadedComment ref="B50" dT="2026-08-27T05:13:29.919" personId="{A237547C-9235-47E7-85C1-F4C0C0F9E858}" id="{0539C0B9-A349-AA1C-1B58-1F0B14C3D420}">
    <xltc:text>PLANNING ASSUMPTION: $9.58/hour derived from 250,000 VND/hour fully-loaded reviewer rate divided by 26,095.90 VND/USD FX.</xltc:text>
  </xltc:threadedComment>
  <xltc:threadedComment ref="B68" dT="2026-08-27T05:13:29.92" personId="{A237547C-9235-47E7-85C1-F4C0C0F9E858}" id="{83AD1196-827F-E136-75E1-9C21B2E4F1A8}">
    <xltc:text>CURRENT PLANNING FX checked 2026-08-27: 26,095.90 VND/USD mid-market, XE. See evidence/pricing-sources.md.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1" dT="2026-08-27T05:13:29.92" personId="{A237547C-9235-47E7-85C1-F4C0C0F9E858}" id="{E5C1AE1D-AB1C-6432-F93D-9C4A6DEAC79E}">
    <xltc:text>Official pricing denominator aligned to completed autonomous jobs/month from 1_Cost_Job!B11 = 600; attempts and non-contained cases remain separate.</xltc:text>
  </xltc:threadedComment>
  <xltc:threadedComment ref="B19" dT="2026-08-27T05:13:29.92" personId="{A237547C-9235-47E7-85C1-F4C0C0F9E858}" id="{340EBA11-F801-EFBA-B915-6A3BB7F15ABD}">
    <xltc:text>Planning price selected at $1.75/job: above the official 3x floor, within the 70% labor anchor, and bounded by current outcome/resolution benchmarks; not a customer quote.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08-27T05:13:29.92" personId="{A237547C-9235-47E7-85C1-F4C0C0F9E858}" id="{F371350A-15CF-AD06-5AB0-4A372C1A3205}">
    <xltc:text>Official 0-2 score: no production job log linked to final customer disposition is verified.</xltc:text>
  </xltc:threadedComment>
  <xltc:threadedComment ref="B13" dT="2026-08-27T05:13:29.92" personId="{A237547C-9235-47E7-85C1-F4C0C0F9E858}" id="{F353D739-E0BE-AAE6-3B7F-D06CB9F365D5}">
    <xltc:text>Official 0-2 score: end-to-end autonomous completion is not current state; local autonomous containment is 1/5.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5" dT="2026-08-27T05:13:29.92" personId="{A237547C-9235-47E7-85C1-F4C0C0F9E858}" id="{F9A50CBB-2ACF-816E-5452-29C627E0FEA0}">
    <xltc:text>Formula input for official Channel Fit: $1,050/month = $1.75/job x 600 completed autonomous jobs/month. Pure usage scenario; Hybrid recommendation is documented separately.</xltc:text>
  </xltc:threadedComment>
  <xltc:threadedComment ref="B20" dT="2026-08-27T05:13:29.92" personId="{A237547C-9235-47E7-85C1-F4C0C0F9E858}" id="{87057D31-C470-2F67-7BE1-1A9156728D2F}">
    <xltc:text>PLANNING ASSUMPTION - NOT CRM MEASUREMENT: $3,000 cost per opportunity for the founder-led first-90-day design-partner motion; this is below the displayed enterprise benchmark and must be replaced after pilot funnel data.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23" dT="2026-08-27T05:13:29.92" personId="{A237547C-9235-47E7-85C1-F4C0C0F9E858}" id="{F5606583-4C91-65C0-82DD-757723FA837A}">
    <xltc:text>Evidence status is intentionally PARTIAL: local controlled evidence exists, but no customer pilot or production telemetry.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2424aceead14205" /><Relationship Type="http://schemas.openxmlformats.org/officeDocument/2006/relationships/vmlDrawing" Target="/xl/drawings/vmldrawing.vml" Id="R0915e20bd6754085" /><Relationship Type="http://schemas.microsoft.com/office/2017/10/relationships/threadedComment" Target="/xl/threadedcomments/threadedcomment.xml" Id="Ra335ce38539f46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5f07e415e96d434d" /><Relationship Type="http://schemas.openxmlformats.org/officeDocument/2006/relationships/vmlDrawing" Target="/xl/drawings/vmldrawing2.vml" Id="Ra427be26831041f2" /><Relationship Type="http://schemas.microsoft.com/office/2017/10/relationships/threadedComment" Target="/xl/threadedcomments/threadedcomment2.xml" Id="Rbc30131bd008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da52295632c14040" /><Relationship Type="http://schemas.openxmlformats.org/officeDocument/2006/relationships/vmlDrawing" Target="/xl/drawings/vmldrawing3.vml" Id="Re52d79374a804cf5" /><Relationship Type="http://schemas.microsoft.com/office/2017/10/relationships/threadedComment" Target="/xl/threadedcomments/threadedcomment3.xml" Id="R3d349a4b60434e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0410ba33da574a7c" /><Relationship Type="http://schemas.openxmlformats.org/officeDocument/2006/relationships/vmlDrawing" Target="/xl/drawings/vmldrawing4.vml" Id="Rdec83252d6a1462f" /><Relationship Type="http://schemas.microsoft.com/office/2017/10/relationships/threadedComment" Target="/xl/threadedcomments/threadedcomment4.xml" Id="R7bb809c48d89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9f8f0aee8dbd489a" /><Relationship Type="http://schemas.openxmlformats.org/officeDocument/2006/relationships/vmlDrawing" Target="/xl/drawings/vmldrawing5.vml" Id="R56552386c8304c4b" /><Relationship Type="http://schemas.microsoft.com/office/2017/10/relationships/threadedComment" Target="/xl/threadedcomments/threadedcomment5.xml" Id="R7b7e17cff250481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2" hidden="0" customWidth="1"/>
    <x:col min="2" max="2" width="62" hidden="0" customWidth="1"/>
    <x:col min="3" max="8" width="15" hidden="0" customWidth="1"/>
  </x:cols>
  <x:sheetData>
    <x:row r="1" ht="24" hidden="0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</x:v>
      </x:c>
    </x:row>
    <x:row r="4" ht="15" hidden="0">
      <x:c r="A4" s="4" t="s">
        <x:v>2</x:v>
      </x:c>
    </x:row>
    <x:row r="5" ht="15" hidden="0">
      <x:c r="A5" s="5" t="s">
        <x:v>3</x:v>
      </x:c>
      <x:c r="B5" s="6" t="s">
        <x:v>4</x:v>
      </x:c>
    </x:row>
    <x:row r="6" ht="15" hidden="0">
      <x:c r="A6" s="7" t="s">
        <x:v>5</x:v>
      </x:c>
      <x:c r="B6" s="6" t="s">
        <x:v>6</x:v>
      </x:c>
    </x:row>
    <x:row r="7" ht="15" hidden="0">
      <x:c r="A7" s="8" t="s">
        <x:v>7</x:v>
      </x:c>
      <x:c r="B7" s="6" t="s">
        <x:v>8</x:v>
      </x:c>
    </x:row>
    <x:row r="8" ht="15" hidden="0">
      <x:c r="A8" s="9" t="s">
        <x:v>9</x:v>
      </x:c>
      <x:c r="B8" s="6" t="s">
        <x:v>10</x:v>
      </x:c>
    </x:row>
    <x:row r="10" ht="15" hidden="0">
      <x:c r="A10" s="4" t="s">
        <x:v>11</x:v>
      </x:c>
    </x:row>
    <x:row r="11" ht="15" hidden="0">
      <x:c r="A11" s="10" t="s">
        <x:v>12</x:v>
      </x:c>
      <x:c r="B11" s="6" t="s">
        <x:v>13</x:v>
      </x:c>
    </x:row>
    <x:row r="12" ht="15" hidden="0">
      <x:c r="A12" s="10" t="s">
        <x:v>14</x:v>
      </x:c>
      <x:c r="B12" s="6" t="s">
        <x:v>15</x:v>
      </x:c>
    </x:row>
    <x:row r="13" ht="15" hidden="0">
      <x:c r="A13" s="10" t="s">
        <x:v>16</x:v>
      </x:c>
      <x:c r="B13" s="6" t="s">
        <x:v>17</x:v>
      </x:c>
    </x:row>
    <x:row r="14" ht="15" hidden="0">
      <x:c r="A14" s="10" t="s">
        <x:v>18</x:v>
      </x:c>
      <x:c r="B14" s="6" t="s">
        <x:v>19</x:v>
      </x:c>
    </x:row>
    <x:row r="15" ht="15" hidden="0">
      <x:c r="A15" s="10" t="s">
        <x:v>20</x:v>
      </x:c>
      <x:c r="B15" s="6" t="s">
        <x:v>21</x:v>
      </x:c>
    </x:row>
    <x:row r="16" ht="15" hidden="0">
      <x:c r="A16" s="10" t="s">
        <x:v>22</x:v>
      </x:c>
      <x:c r="B16" s="6" t="s">
        <x:v>23</x:v>
      </x:c>
    </x:row>
    <x:row r="18" ht="15" hidden="0">
      <x:c r="A18" s="4" t="s">
        <x:v>24</x:v>
      </x:c>
    </x:row>
    <x:row r="19" ht="15" hidden="0">
      <x:c r="A19" s="6" t="s">
        <x:v>25</x:v>
      </x:c>
    </x:row>
    <x:row r="20" ht="15" hidden="0">
      <x:c r="A20" s="6" t="s">
        <x:v>26</x:v>
      </x:c>
    </x:row>
    <x:row r="21" ht="15" hidden="0">
      <x:c r="A21" s="6" t="s">
        <x:v>27</x:v>
      </x:c>
    </x:row>
    <x:row r="23" ht="15" hidden="0">
      <x:c r="A23" s="3" t="s">
        <x:v>28</x:v>
      </x:c>
    </x:row>
    <x:row r="24" ht="15" hidden="0">
      <x:c r="A24" s="3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2" hidden="0" customWidth="1"/>
    <x:col min="5" max="8" width="15" hidden="0" customWidth="1"/>
  </x:cols>
  <x:sheetData>
    <x:row r="1" ht="24" hidden="0" customHeight="1">
      <x:c r="A1" s="1" t="s">
        <x:v>30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31</x:v>
      </x:c>
    </x:row>
    <x:row r="4" ht="15" hidden="0">
      <x:c r="A4" s="11" t="s">
        <x:v>32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33</x:v>
      </x:c>
      <x:c r="B5" s="5" t="str">
        <x:v>Grounded fraud package; customer decides.</x:v>
      </x:c>
      <x:c r="D5" s="3" t="s">
        <x:v>34</x:v>
      </x:c>
    </x:row>
    <x:row r="6" ht="15" hidden="0">
      <x:c r="A6" s="6" t="s">
        <x:v>35</x:v>
      </x:c>
      <x:c r="B6" s="13" t="str">
        <x:v>A</x:v>
      </x:c>
      <x:c r="D6" s="3" t="s">
        <x:v>36</x:v>
      </x:c>
    </x:row>
    <x:row r="8" ht="15" hidden="0">
      <x:c r="A8" s="11" t="s">
        <x:v>37</x:v>
      </x:c>
      <x:c r="B8" s="12"/>
      <x:c r="C8" s="12"/>
      <x:c r="D8" s="12"/>
      <x:c r="E8" s="12"/>
      <x:c r="F8" s="12"/>
      <x:c r="G8" s="12"/>
      <x:c r="H8" s="12"/>
    </x:row>
    <x:row r="9" ht="15" hidden="0">
      <x:c r="A9" s="6" t="s">
        <x:v>38</x:v>
      </x:c>
      <x:c r="B9" s="14" t="n">
        <x:v>3000</x:v>
      </x:c>
      <x:c r="C9" s="3" t="s">
        <x:v>39</x:v>
      </x:c>
    </x:row>
    <x:row r="10" ht="15" hidden="0">
      <x:c r="A10" s="6" t="s">
        <x:v>40</x:v>
      </x:c>
      <x:c r="B10" s="15" t="n">
        <x:v>0.2</x:v>
      </x:c>
      <x:c r="D10" s="3" t="s">
        <x:v>41</x:v>
      </x:c>
    </x:row>
    <x:row r="11" ht="15" hidden="0">
      <x:c r="A11" s="6" t="s">
        <x:v>42</x:v>
      </x:c>
      <x:c r="B11" s="16" t="n">
        <x:f aca="0">B9*B10</x:f>
        <x:v>600</x:v>
      </x:c>
      <x:c r="C11" s="3" t="s">
        <x:v>39</x:v>
      </x:c>
      <x:c r="D11" s="3" t="s">
        <x:v>43</x:v>
      </x:c>
    </x:row>
    <x:row r="12" ht="15" hidden="0">
      <x:c r="A12" s="6" t="s">
        <x:v>44</x:v>
      </x:c>
      <x:c r="B12" s="16" t="n">
        <x:f aca="0">B9-B11</x:f>
        <x:v>2400</x:v>
      </x:c>
      <x:c r="C12" s="3" t="s">
        <x:v>39</x:v>
      </x:c>
      <x:c r="D12" s="3" t="s">
        <x:v>45</x:v>
      </x:c>
    </x:row>
    <x:row r="14" ht="15" hidden="0">
      <x:c r="A14" s="11" t="s">
        <x:v>46</x:v>
      </x:c>
      <x:c r="B14" s="12"/>
      <x:c r="C14" s="12"/>
      <x:c r="D14" s="12"/>
      <x:c r="E14" s="12"/>
      <x:c r="F14" s="12"/>
      <x:c r="G14" s="12"/>
      <x:c r="H14" s="12"/>
    </x:row>
    <x:row r="15" ht="15" hidden="0">
      <x:c r="A15" s="6" t="s">
        <x:v>47</x:v>
      </x:c>
      <x:c r="B15" s="17" t="n">
        <x:v>4</x:v>
      </x:c>
      <x:c r="D15" s="3" t="s">
        <x:v>48</x:v>
      </x:c>
    </x:row>
    <x:row r="16" ht="15" hidden="0">
      <x:c r="A16" s="6" t="s">
        <x:v>49</x:v>
      </x:c>
      <x:c r="B16" s="17" t="n">
        <x:v>20</x:v>
      </x:c>
    </x:row>
    <x:row r="17" ht="15" hidden="0">
      <x:c r="A17" s="6" t="s">
        <x:v>50</x:v>
      </x:c>
      <x:c r="B17" s="17" t="n">
        <x:v>5</x:v>
      </x:c>
      <x:c r="D17" s="3" t="s">
        <x:v>51</x:v>
      </x:c>
    </x:row>
    <x:row r="18" ht="15" hidden="0">
      <x:c r="A18" s="6" t="s">
        <x:v>52</x:v>
      </x:c>
      <x:c r="B18" s="17" t="n">
        <x:v>0.4</x:v>
      </x:c>
      <x:c r="D18" s="3" t="s">
        <x:v>53</x:v>
      </x:c>
    </x:row>
    <x:row r="19" ht="15" hidden="0">
      <x:c r="A19" s="6" t="s">
        <x:v>54</x:v>
      </x:c>
      <x:c r="B19" s="14" t="n">
        <x:v>6</x:v>
      </x:c>
      <x:c r="C19" s="3" t="s">
        <x:v>55</x:v>
      </x:c>
    </x:row>
    <x:row r="20" ht="15" hidden="0">
      <x:c r="A20" s="6" t="s">
        <x:v>56</x:v>
      </x:c>
      <x:c r="B20" s="14" t="n">
        <x:v>3000</x:v>
      </x:c>
      <x:c r="C20" s="3" t="s">
        <x:v>57</x:v>
      </x:c>
      <x:c r="D20" s="3" t="s">
        <x:v>58</x:v>
      </x:c>
    </x:row>
    <x:row r="21" ht="15" hidden="0">
      <x:c r="A21" s="6" t="s">
        <x:v>59</x:v>
      </x:c>
      <x:c r="B21" s="14" t="n">
        <x:v>1000</x:v>
      </x:c>
      <x:c r="C21" s="3" t="s">
        <x:v>57</x:v>
      </x:c>
      <x:c r="D21" s="3" t="s">
        <x:v>60</x:v>
      </x:c>
    </x:row>
    <x:row r="22" ht="15" hidden="0">
      <x:c r="A22" s="6" t="s">
        <x:v>61</x:v>
      </x:c>
      <x:c r="B22" s="14" t="n">
        <x:v>300</x:v>
      </x:c>
      <x:c r="C22" s="3" t="s">
        <x:v>57</x:v>
      </x:c>
    </x:row>
    <x:row r="23" ht="15" hidden="0">
      <x:c r="A23" s="6" t="s">
        <x:v>62</x:v>
      </x:c>
      <x:c r="B23" s="18" t="n">
        <x:f aca="0">B20*B17/1000000</x:f>
        <x:v>0.015</x:v>
      </x:c>
    </x:row>
    <x:row r="24" ht="15" hidden="0">
      <x:c r="A24" s="6" t="s">
        <x:v>63</x:v>
      </x:c>
      <x:c r="B24" s="18" t="n">
        <x:f aca="0">(B19-1)*B20*B18/1000000</x:f>
        <x:v>0.006</x:v>
      </x:c>
    </x:row>
    <x:row r="25" ht="15" hidden="0">
      <x:c r="A25" s="6" t="s">
        <x:v>64</x:v>
      </x:c>
      <x:c r="B25" s="18" t="n">
        <x:f aca="0">B19*B21*B15/1000000</x:f>
        <x:v>0.024</x:v>
      </x:c>
    </x:row>
    <x:row r="26" ht="15" hidden="0">
      <x:c r="A26" s="6" t="s">
        <x:v>65</x:v>
      </x:c>
      <x:c r="B26" s="18" t="n">
        <x:f aca="0">B19*B22*B16/1000000</x:f>
        <x:v>0.036</x:v>
      </x:c>
    </x:row>
    <x:row r="27" ht="15" hidden="0">
      <x:c r="A27" s="10" t="s">
        <x:v>66</x:v>
      </x:c>
      <x:c r="B27" s="19" t="n">
        <x:f aca="0">SUM(B23:B26)</x:f>
        <x:v>0.08099999999999999</x:v>
      </x:c>
    </x:row>
    <x:row r="28" ht="15" hidden="0">
      <x:c r="A28" s="6" t="s">
        <x:v>67</x:v>
      </x:c>
      <x:c r="B28" s="18" t="n">
        <x:f aca="0">B19*(B20+B21)*B15/1000000+B26</x:f>
        <x:v>0.132</x:v>
      </x:c>
    </x:row>
    <x:row r="29" ht="15" hidden="0">
      <x:c r="A29" s="6" t="s">
        <x:v>68</x:v>
      </x:c>
      <x:c r="B29" s="20" t="n">
        <x:f aca="0">IF(B28=0,0,1-B27/B28)</x:f>
        <x:v>0.38636363636363646</x:v>
      </x:c>
      <x:c r="D29" s="3" t="s">
        <x:v>69</x:v>
      </x:c>
    </x:row>
    <x:row r="30" ht="15" hidden="0">
      <x:c r="A30" s="6" t="s">
        <x:v>70</x:v>
      </x:c>
      <x:c r="B30" s="14" t="n">
        <x:v>0</x:v>
      </x:c>
      <x:c r="D30" s="3" t="s">
        <x:v>71</x:v>
      </x:c>
    </x:row>
    <x:row r="31" ht="15" hidden="0">
      <x:c r="A31" s="10" t="s">
        <x:v>72</x:v>
      </x:c>
      <x:c r="B31" s="19" t="n">
        <x:f aca="0">B27*(1-B30*0.5)</x:f>
        <x:v>0.08099999999999999</x:v>
      </x:c>
    </x:row>
    <x:row r="33" ht="15" hidden="0">
      <x:c r="A33" s="11" t="s">
        <x:v>73</x:v>
      </x:c>
      <x:c r="B33" s="12"/>
      <x:c r="C33" s="12"/>
      <x:c r="D33" s="12"/>
      <x:c r="E33" s="12"/>
      <x:c r="F33" s="12"/>
      <x:c r="G33" s="12"/>
      <x:c r="H33" s="12"/>
    </x:row>
    <x:row r="34" ht="15" hidden="0">
      <x:c r="A34" s="6" t="s">
        <x:v>74</x:v>
      </x:c>
      <x:c r="B34" s="21" t="n">
        <x:v>0</x:v>
      </x:c>
      <x:c r="D34" s="3" t="s">
        <x:v>75</x:v>
      </x:c>
    </x:row>
    <x:row r="35" ht="15" hidden="0">
      <x:c r="A35" s="6" t="s">
        <x:v>76</x:v>
      </x:c>
      <x:c r="B35" s="22" t="n">
        <x:v>0</x:v>
      </x:c>
      <x:c r="C35" s="3" t="s">
        <x:v>77</x:v>
      </x:c>
    </x:row>
    <x:row r="36" ht="15" hidden="0">
      <x:c r="A36" s="6" t="s">
        <x:v>78</x:v>
      </x:c>
      <x:c r="B36" s="17" t="n">
        <x:v>0</x:v>
      </x:c>
      <x:c r="D36" s="3" t="s">
        <x:v>79</x:v>
      </x:c>
    </x:row>
    <x:row r="37" ht="15" hidden="0">
      <x:c r="A37" s="6" t="s">
        <x:v>80</x:v>
      </x:c>
      <x:c r="B37" s="14" t="n">
        <x:v>0</x:v>
      </x:c>
      <x:c r="C37" s="3" t="s">
        <x:v>81</x:v>
      </x:c>
      <x:c r="D37" s="3" t="s">
        <x:v>82</x:v>
      </x:c>
    </x:row>
    <x:row r="38" ht="15" hidden="0">
      <x:c r="A38" s="6" t="s">
        <x:v>83</x:v>
      </x:c>
      <x:c r="B38" s="18" t="n">
        <x:f aca="0">B34*B35+B36*B37/1000000</x:f>
        <x:v>0</x:v>
      </x:c>
    </x:row>
    <x:row r="40" ht="15" hidden="0">
      <x:c r="A40" s="11" t="s">
        <x:v>84</x:v>
      </x:c>
      <x:c r="B40" s="12"/>
      <x:c r="C40" s="12"/>
      <x:c r="D40" s="12"/>
      <x:c r="E40" s="12"/>
      <x:c r="F40" s="12"/>
      <x:c r="G40" s="12"/>
      <x:c r="H40" s="12"/>
    </x:row>
    <x:row r="41" ht="15" hidden="0">
      <x:c r="A41" s="6" t="s">
        <x:v>85</x:v>
      </x:c>
      <x:c r="B41" s="21" t="n">
        <x:v>0.005</x:v>
      </x:c>
      <x:c r="D41" s="3" t="s">
        <x:v>86</x:v>
      </x:c>
    </x:row>
    <x:row r="42" ht="15" hidden="0">
      <x:c r="A42" s="6" t="s">
        <x:v>87</x:v>
      </x:c>
      <x:c r="B42" s="21" t="n">
        <x:v>0</x:v>
      </x:c>
    </x:row>
    <x:row r="43" ht="15" hidden="0">
      <x:c r="A43" s="6" t="s">
        <x:v>88</x:v>
      </x:c>
      <x:c r="B43" s="18" t="n">
        <x:f aca="0">B41+B42*B35</x:f>
        <x:v>0.005</x:v>
      </x:c>
    </x:row>
    <x:row r="45" ht="15" hidden="0">
      <x:c r="A45" s="11" t="s">
        <x:v>89</x:v>
      </x:c>
      <x:c r="B45" s="12"/>
      <x:c r="C45" s="12"/>
      <x:c r="D45" s="12"/>
      <x:c r="E45" s="12"/>
      <x:c r="F45" s="12"/>
      <x:c r="G45" s="12"/>
      <x:c r="H45" s="12"/>
    </x:row>
    <x:row r="46" ht="15" hidden="0">
      <x:c r="A46" s="6" t="s">
        <x:v>90</x:v>
      </x:c>
      <x:c r="B46" s="15" t="n">
        <x:v>0.08</x:v>
      </x:c>
      <x:c r="D46" s="3" t="s">
        <x:v>91</x:v>
      </x:c>
    </x:row>
    <x:row r="47" ht="15" hidden="0">
      <x:c r="A47" s="6" t="s">
        <x:v>92</x:v>
      </x:c>
      <x:c r="B47" s="18" t="n">
        <x:f aca="0">(B31+B38)*B46</x:f>
        <x:v>0.00648</x:v>
      </x:c>
    </x:row>
    <x:row r="49" ht="15" hidden="0">
      <x:c r="A49" s="11" t="s">
        <x:v>93</x:v>
      </x:c>
      <x:c r="B49" s="12"/>
      <x:c r="C49" s="12"/>
      <x:c r="D49" s="12"/>
      <x:c r="E49" s="12"/>
      <x:c r="F49" s="12"/>
      <x:c r="G49" s="12"/>
      <x:c r="H49" s="12"/>
    </x:row>
    <x:row r="50" ht="15" hidden="0">
      <x:c r="A50" s="6" t="s">
        <x:v>94</x:v>
      </x:c>
      <x:c r="B50" s="17" t="n">
        <x:v>9.58</x:v>
      </x:c>
      <x:c r="D50" s="3" t="s">
        <x:v>95</x:v>
      </x:c>
    </x:row>
    <x:row r="51" ht="15" hidden="0">
      <x:c r="A51" s="6" t="s">
        <x:v>96</x:v>
      </x:c>
      <x:c r="B51" s="15" t="n">
        <x:v>0.05</x:v>
      </x:c>
      <x:c r="D51" s="3" t="s">
        <x:v>97</x:v>
      </x:c>
    </x:row>
    <x:row r="52" ht="15" hidden="0">
      <x:c r="A52" s="6" t="s">
        <x:v>98</x:v>
      </x:c>
      <x:c r="B52" s="22" t="n">
        <x:v>2</x:v>
      </x:c>
      <x:c r="C52" s="3" t="s">
        <x:v>77</x:v>
      </x:c>
    </x:row>
    <x:row r="53" ht="15" hidden="0">
      <x:c r="A53" s="6" t="s">
        <x:v>99</x:v>
      </x:c>
      <x:c r="B53" s="22" t="n">
        <x:v>6</x:v>
      </x:c>
      <x:c r="C53" s="3" t="s">
        <x:v>77</x:v>
      </x:c>
    </x:row>
    <x:row r="54" ht="15" hidden="0">
      <x:c r="A54" s="6" t="s">
        <x:v>100</x:v>
      </x:c>
      <x:c r="B54" s="23" t="n">
        <x:f aca="0">B9*B51*(B52/60)*B50</x:f>
        <x:v>47.9</x:v>
      </x:c>
    </x:row>
    <x:row r="55" ht="15" hidden="0">
      <x:c r="A55" s="6" t="s">
        <x:v>101</x:v>
      </x:c>
      <x:c r="B55" s="23" t="n">
        <x:f aca="0">IF(B6="B",B12*(B53/60)*B50,0)</x:f>
        <x:v>0</x:v>
      </x:c>
      <x:c r="D55" s="3" t="s">
        <x:v>102</x:v>
      </x:c>
    </x:row>
    <x:row r="56" ht="15" hidden="0">
      <x:c r="A56" s="10" t="s">
        <x:v>103</x:v>
      </x:c>
      <x:c r="B56" s="24" t="n">
        <x:f aca="0">B54+B55</x:f>
        <x:v>47.9</x:v>
      </x:c>
    </x:row>
    <x:row r="58" ht="15" hidden="0">
      <x:c r="A58" s="11" t="s">
        <x:v>104</x:v>
      </x:c>
      <x:c r="B58" s="12"/>
      <x:c r="C58" s="12"/>
      <x:c r="D58" s="12"/>
      <x:c r="E58" s="12"/>
      <x:c r="F58" s="12"/>
      <x:c r="G58" s="12"/>
      <x:c r="H58" s="12"/>
    </x:row>
    <x:row r="59" ht="15" hidden="0">
      <x:c r="A59" s="6" t="s">
        <x:v>105</x:v>
      </x:c>
      <x:c r="B59" s="17" t="n">
        <x:v>0</x:v>
      </x:c>
      <x:c r="D59" s="3" t="s">
        <x:v>106</x:v>
      </x:c>
    </x:row>
    <x:row r="61" ht="15" hidden="0">
      <x:c r="A61" s="11" t="s">
        <x:v>107</x:v>
      </x:c>
      <x:c r="B61" s="12"/>
      <x:c r="C61" s="12"/>
      <x:c r="D61" s="12"/>
      <x:c r="E61" s="12"/>
      <x:c r="F61" s="12"/>
      <x:c r="G61" s="12"/>
      <x:c r="H61" s="12"/>
    </x:row>
    <x:row r="62" ht="15" hidden="0">
      <x:c r="A62" s="6" t="s">
        <x:v>108</x:v>
      </x:c>
      <x:c r="B62" s="23" t="n">
        <x:f aca="0">B9*(B31+B38+B43+B47)</x:f>
        <x:v>277.44</x:v>
      </x:c>
    </x:row>
    <x:row r="63" ht="15" hidden="0">
      <x:c r="A63" s="6" t="s">
        <x:v>109</x:v>
      </x:c>
      <x:c r="B63" s="23" t="n">
        <x:f aca="0">B56</x:f>
        <x:v>47.9</x:v>
      </x:c>
    </x:row>
    <x:row r="64" ht="15" hidden="0">
      <x:c r="A64" s="6" t="s">
        <x:v>110</x:v>
      </x:c>
      <x:c r="B64" s="23" t="n">
        <x:f aca="0">B59</x:f>
        <x:v>0</x:v>
      </x:c>
    </x:row>
    <x:row r="65" ht="15" hidden="0">
      <x:c r="A65" s="6" t="s">
        <x:v>111</x:v>
      </x:c>
      <x:c r="B65" s="23" t="n">
        <x:f aca="0">B62+B63+B64</x:f>
        <x:v>325.34</x:v>
      </x:c>
    </x:row>
    <x:row r="66" ht="15" hidden="0">
      <x:c r="A66" s="10" t="s">
        <x:v>112</x:v>
      </x:c>
      <x:c r="B66" s="19" t="n">
        <x:f aca="0">IF(B11=0,0,(B62+B63)/B11)</x:f>
        <x:v>0.5422333333333333</x:v>
      </x:c>
      <x:c r="C66" s="3" t="s">
        <x:v>113</x:v>
      </x:c>
      <x:c r="D66" s="3" t="s">
        <x:v>114</x:v>
      </x:c>
    </x:row>
    <x:row r="67" ht="15" hidden="0">
      <x:c r="A67" s="10" t="s">
        <x:v>115</x:v>
      </x:c>
      <x:c r="B67" s="19" t="n">
        <x:f aca="0">IF(B11=0,0,B65/B11)</x:f>
        <x:v>0.5422333333333333</x:v>
      </x:c>
      <x:c r="C67" s="3" t="s">
        <x:v>113</x:v>
      </x:c>
    </x:row>
    <x:row r="68" ht="15" hidden="0">
      <x:c r="A68" s="6" t="s">
        <x:v>116</x:v>
      </x:c>
      <x:c r="B68" s="14" t="n">
        <x:v>26095.9</x:v>
      </x:c>
      <x:c r="C68" s="3" t="s">
        <x:v>117</x:v>
      </x:c>
      <x:c r="D68" s="3" t="s">
        <x:v>118</x:v>
      </x:c>
    </x:row>
    <x:row r="69" ht="15" hidden="0">
      <x:c r="A69" s="6" t="s">
        <x:v>119</x:v>
      </x:c>
      <x:c r="B69" s="25" t="n">
        <x:f aca="0">B66*B68</x:f>
        <x:v>14150.066843333334</x:v>
      </x:c>
      <x:c r="C69" s="3" t="s">
        <x:v>120</x:v>
      </x:c>
    </x:row>
    <x:row r="71" ht="15" hidden="0">
      <x:c r="A71" s="11" t="s">
        <x:v>121</x:v>
      </x:c>
      <x:c r="B71" s="12"/>
      <x:c r="C71" s="12"/>
      <x:c r="D71" s="12"/>
      <x:c r="E71" s="12"/>
      <x:c r="F71" s="12"/>
      <x:c r="G71" s="12"/>
      <x:c r="H71" s="12"/>
    </x:row>
    <x:row r="72" ht="15" hidden="0">
      <x:c r="A72" s="6" t="s">
        <x:v>122</x:v>
      </x:c>
      <x:c r="B72" s="23" t="n">
        <x:f aca="0">B9*B31</x:f>
        <x:v>242.99999999999997</x:v>
      </x:c>
      <x:c r="C72" s="20" t="n">
        <x:f aca="0">IF($B$65=0,0,B72/$B$65)</x:f>
        <x:v>0.7469109239564763</x:v>
      </x:c>
    </x:row>
    <x:row r="73" ht="15" hidden="0">
      <x:c r="A73" s="6" t="s">
        <x:v>123</x:v>
      </x:c>
      <x:c r="B73" s="23" t="n">
        <x:f aca="0">B9*B38</x:f>
        <x:v>0</x:v>
      </x:c>
      <x:c r="C73" s="20" t="n">
        <x:f aca="0">IF($B$65=0,0,B73/$B$65)</x:f>
        <x:v>0</x:v>
      </x:c>
    </x:row>
    <x:row r="74" ht="15" hidden="0">
      <x:c r="A74" s="6" t="s">
        <x:v>124</x:v>
      </x:c>
      <x:c r="B74" s="23" t="n">
        <x:f aca="0">B9*B43</x:f>
        <x:v>15</x:v>
      </x:c>
      <x:c r="C74" s="20" t="n">
        <x:f aca="0">IF($B$65=0,0,B74/$B$65)</x:f>
        <x:v>0.04610561258990595</x:v>
      </x:c>
    </x:row>
    <x:row r="75" ht="15" hidden="0">
      <x:c r="A75" s="6" t="s">
        <x:v>125</x:v>
      </x:c>
      <x:c r="B75" s="23" t="n">
        <x:f aca="0">B9*B47</x:f>
        <x:v>19.439999999999998</x:v>
      </x:c>
      <x:c r="C75" s="20" t="n">
        <x:f aca="0">IF($B$65=0,0,B75/$B$65)</x:f>
        <x:v>0.0597528739165181</x:v>
      </x:c>
    </x:row>
    <x:row r="76" ht="15" hidden="0">
      <x:c r="A76" s="6" t="s">
        <x:v>126</x:v>
      </x:c>
      <x:c r="B76" s="23" t="n">
        <x:f aca="0">B56</x:f>
        <x:v>47.9</x:v>
      </x:c>
      <x:c r="C76" s="20" t="n">
        <x:f aca="0">IF($B$65=0,0,B76/$B$65)</x:f>
        <x:v>0.14723058953709967</x:v>
      </x:c>
    </x:row>
    <x:row r="77" ht="15" hidden="0">
      <x:c r="A77" s="6" t="s">
        <x:v>127</x:v>
      </x:c>
      <x:c r="B77" s="23" t="n">
        <x:f aca="0">B59</x:f>
        <x:v>0</x:v>
      </x:c>
      <x:c r="C77" s="20" t="n">
        <x:f aca="0">IF($B$65=0,0,B77/$B$65)</x:f>
        <x:v>0</x:v>
      </x:c>
    </x:row>
    <x:row r="78" ht="15" hidden="0">
      <x:c r="A78" s="3" t="s">
        <x:v>128</x:v>
      </x:c>
    </x:row>
  </x:sheetData>
  <x:dataValidations count="1">
    <x:dataValidation type="list" errorStyle="stop" operator="between" allowBlank="0" showDropDown="0" showInputMessage="0" showErrorMessage="0" sqref="B6">
      <x:formula1>"A,B"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0915e20bd6754085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129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130</x:v>
      </x:c>
    </x:row>
    <x:row r="4" ht="15" hidden="0">
      <x:c r="A4" s="11" t="s">
        <x:v>131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132</x:v>
      </x:c>
      <x:c r="B5" s="26" t="n">
        <x:f aca="0">'1_Cost_Job'!B66</x:f>
        <x:v>0.5422333333333333</x:v>
      </x:c>
      <x:c r="C5" s="3" t="s">
        <x:v>113</x:v>
      </x:c>
    </x:row>
    <x:row r="6" ht="15" hidden="0">
      <x:c r="A6" s="6" t="s">
        <x:v>133</x:v>
      </x:c>
      <x:c r="B6" s="22" t="n">
        <x:v>3</x:v>
      </x:c>
      <x:c r="C6" s="3" t="s">
        <x:v>134</x:v>
      </x:c>
      <x:c r="D6" s="3" t="s">
        <x:v>135</x:v>
      </x:c>
    </x:row>
    <x:row r="7" ht="15" hidden="0">
      <x:c r="A7" s="10" t="s">
        <x:v>136</x:v>
      </x:c>
      <x:c r="B7" s="19" t="n">
        <x:f aca="0">B5*B6</x:f>
        <x:v>1.6267</x:v>
      </x:c>
      <x:c r="C7" s="3" t="s">
        <x:v>113</x:v>
      </x:c>
    </x:row>
    <x:row r="9" ht="15" hidden="0">
      <x:c r="A9" s="11" t="s">
        <x:v>137</x:v>
      </x:c>
      <x:c r="B9" s="12"/>
      <x:c r="C9" s="12"/>
      <x:c r="D9" s="12"/>
      <x:c r="E9" s="12"/>
      <x:c r="F9" s="12"/>
      <x:c r="G9" s="12"/>
      <x:c r="H9" s="12"/>
    </x:row>
    <x:row r="10" ht="15" hidden="0">
      <x:c r="A10" s="6" t="s">
        <x:v>138</x:v>
      </x:c>
      <x:c r="B10" s="27" t="n">
        <x:v>4000</x:v>
      </x:c>
      <x:c r="D10" s="3" t="s">
        <x:v>139</x:v>
      </x:c>
    </x:row>
    <x:row r="11" ht="15" hidden="0">
      <x:c r="A11" s="6" t="s">
        <x:v>140</x:v>
      </x:c>
      <x:c r="B11" s="14" t="n">
        <x:v>600</x:v>
      </x:c>
      <x:c r="C11" s="3" t="s">
        <x:v>39</x:v>
      </x:c>
    </x:row>
    <x:row r="12" ht="15" hidden="0">
      <x:c r="A12" s="6" t="s">
        <x:v>141</x:v>
      </x:c>
      <x:c r="B12" s="18" t="n">
        <x:f aca="0">IF(B11=0,0,B10*0.1/B11)</x:f>
        <x:v>0.6666666666666666</x:v>
      </x:c>
      <x:c r="C12" s="3" t="s">
        <x:v>113</x:v>
      </x:c>
    </x:row>
    <x:row r="13" ht="15" hidden="0">
      <x:c r="A13" s="6" t="s">
        <x:v>142</x:v>
      </x:c>
      <x:c r="B13" s="18" t="n">
        <x:f aca="0">IF(B11=0,0,B10*0.25/B11)</x:f>
        <x:v>1.6666666666666667</x:v>
      </x:c>
      <x:c r="C13" s="3" t="s">
        <x:v>113</x:v>
      </x:c>
    </x:row>
    <x:row r="14" ht="15" hidden="0">
      <x:c r="A14" s="6" t="s">
        <x:v>143</x:v>
      </x:c>
      <x:c r="B14" s="27" t="n">
        <x:v>1500</x:v>
      </x:c>
      <x:c r="D14" s="3" t="s">
        <x:v>144</x:v>
      </x:c>
    </x:row>
    <x:row r="15" ht="15" hidden="0">
      <x:c r="A15" s="6" t="s">
        <x:v>145</x:v>
      </x:c>
      <x:c r="B15" s="18" t="n">
        <x:f aca="0">IF(B11=0,0,B14*0.5/B11)</x:f>
        <x:v>1.25</x:v>
      </x:c>
      <x:c r="C15" s="3" t="s">
        <x:v>113</x:v>
      </x:c>
    </x:row>
    <x:row r="16" ht="15" hidden="0">
      <x:c r="A16" s="6" t="s">
        <x:v>146</x:v>
      </x:c>
      <x:c r="B16" s="18" t="n">
        <x:f aca="0">IF(B11=0,0,B14*0.7/B11)</x:f>
        <x:v>1.75</x:v>
      </x:c>
      <x:c r="C16" s="3" t="s">
        <x:v>113</x:v>
      </x:c>
    </x:row>
    <x:row r="18" ht="15" hidden="0">
      <x:c r="A18" s="11" t="s">
        <x:v>147</x:v>
      </x:c>
      <x:c r="B18" s="12"/>
      <x:c r="C18" s="12"/>
      <x:c r="D18" s="12"/>
      <x:c r="E18" s="12"/>
      <x:c r="F18" s="12"/>
      <x:c r="G18" s="12"/>
      <x:c r="H18" s="12"/>
    </x:row>
    <x:row r="19" ht="15" hidden="0">
      <x:c r="A19" s="6" t="s">
        <x:v>148</x:v>
      </x:c>
      <x:c r="B19" s="21" t="n">
        <x:v>1.75</x:v>
      </x:c>
      <x:c r="C19" s="3" t="s">
        <x:v>113</x:v>
      </x:c>
      <x:c r="D19" s="3" t="s">
        <x:v>149</x:v>
      </x:c>
    </x:row>
    <x:row r="20" ht="15" hidden="0">
      <x:c r="A20" s="6" t="s">
        <x:v>150</x:v>
      </x:c>
      <x:c r="B20" s="28" t="n">
        <x:f aca="0">IF(B5=0,0,B19/B5)</x:f>
        <x:v>3.227392881293416</x:v>
      </x:c>
    </x:row>
    <x:row r="21" ht="15" hidden="0">
      <x:c r="A21" s="10" t="s">
        <x:v>151</x:v>
      </x:c>
      <x:c r="B21" s="29" t="n">
        <x:f aca="0">IF(B19=0,0,(B19-B5)/B19)</x:f>
        <x:v>0.690152380952381</x:v>
      </x:c>
    </x:row>
    <x:row r="22" ht="15" hidden="0">
      <x:c r="A22" s="6" t="s">
        <x:v>152</x:v>
      </x:c>
      <x:c r="B22" s="7" t="str">
        <x:f aca="0">IF(B20&gt;=B6,"OK — ĐẠT","KHÔNG ĐẠT — quay lại tab 1")</x:f>
        <x:v>OK — ĐẠT</x:v>
      </x:c>
    </x:row>
    <x:row r="23" ht="15" hidden="0">
      <x:c r="A23" s="6" t="s">
        <x:v>153</x:v>
      </x:c>
      <x:c r="B23" s="7" t="str">
        <x:f aca="0">IF(B21&gt;=0.6,"OK — AN TOÀN (≥60%)",IF(B21&gt;=0.5,"CẢNH BÁO (50–60%)","NGUY HIỂM (&lt;50%)"))</x:f>
        <x:v>OK — AN TOÀN (≥60%)</x:v>
      </x:c>
    </x:row>
    <x:row r="24" ht="15" hidden="0">
      <x:c r="A24" s="6" t="s">
        <x:v>154</x:v>
      </x:c>
      <x:c r="B24" s="7" t="str">
        <x:f aca="0">IF(B21&gt;0.85,"NGHI NGỜ — nhiều khả năng bạn quên một khoản chi phí","OK")</x:f>
        <x:v>OK</x:v>
      </x:c>
    </x:row>
    <x:row r="25" ht="15" hidden="0">
      <x:c r="A25" s="6" t="s">
        <x:v>155</x:v>
      </x:c>
      <x:c r="B25" s="7" t="str">
        <x:f aca="0">IF(AND(B19&gt;=B7,B19&lt;=MAX(B13,B16)),"OK — trong vùng giá bán","XEM LẠI — ngoài vùng giá sàn/trần")</x:f>
        <x:v>OK — trong vùng giá bán</x:v>
      </x:c>
    </x:row>
    <x:row r="27" ht="15" hidden="0">
      <x:c r="A27" s="11" t="s">
        <x:v>156</x:v>
      </x:c>
      <x:c r="B27" s="12"/>
      <x:c r="C27" s="12"/>
      <x:c r="D27" s="12"/>
      <x:c r="E27" s="12"/>
      <x:c r="F27" s="12"/>
      <x:c r="G27" s="12"/>
      <x:c r="H27" s="12"/>
    </x:row>
    <x:row r="28" ht="15" hidden="0">
      <x:c r="A28" s="3" t="s">
        <x:v>157</x:v>
      </x:c>
    </x:row>
    <x:row r="29" ht="15" hidden="0">
      <x:c r="A29" s="6" t="s">
        <x:v>158</x:v>
      </x:c>
      <x:c r="B29" s="26" t="n">
        <x:f aca="0">'1_Cost_Job'!B31+'1_Cost_Job'!B38+'1_Cost_Job'!B43+'1_Cost_Job'!B47</x:f>
        <x:v>0.09247999999999999</x:v>
      </x:c>
    </x:row>
    <x:row r="30" ht="15" hidden="0">
      <x:c r="A30" s="6" t="s">
        <x:v>159</x:v>
      </x:c>
      <x:c r="B30" s="26" t="n">
        <x:f aca="0">'1_Cost_Job'!B51*('1_Cost_Job'!B52/60)*'1_Cost_Job'!B50</x:f>
        <x:v>0.015966666666666667</x:v>
      </x:c>
    </x:row>
    <x:row r="31" ht="15" hidden="0">
      <x:c r="A31" s="6" t="s">
        <x:v>160</x:v>
      </x:c>
      <x:c r="B31" s="26" t="n">
        <x:f aca="0">IF('1_Cost_Job'!B6="B",('1_Cost_Job'!B53/60)*'1_Cost_Job'!B50,0)</x:f>
        <x:v>0</x:v>
      </x:c>
    </x:row>
    <x:row r="32" ht="15" hidden="0">
      <x:c r="A32" s="6" t="s">
        <x:v>161</x:v>
      </x:c>
      <x:c r="B32" s="15" t="n">
        <x:v>0.6</x:v>
      </x:c>
    </x:row>
    <x:row r="33" ht="15" hidden="0">
      <x:c r="A33" s="10" t="s">
        <x:v>162</x:v>
      </x:c>
      <x:c r="B33" s="29" t="n">
        <x:f aca="0">IF((B19*(1-B32)+B31)=0,0,(B29+B30+B31)/(B19*(1-B32)+B31))</x:f>
        <x:v>0.1549238095238095</x:v>
      </x:c>
      <x:c r="D33" s="3" t="s">
        <x:v>163</x:v>
      </x:c>
    </x:row>
    <x:row r="34" ht="15" hidden="0">
      <x:c r="A34" s="6" t="s">
        <x:v>164</x:v>
      </x:c>
      <x:c r="B34" s="30" t="n">
        <x:f aca="0">'1_Cost_Job'!B10</x:f>
        <x:v>0.2</x:v>
      </x:c>
    </x:row>
    <x:row r="35" ht="15" hidden="0">
      <x:c r="A35" s="6" t="s">
        <x:v>165</x:v>
      </x:c>
      <x:c r="B35" s="7" t="str">
        <x:f aca="0">IF(B34&gt;=B33,"ĐẠT — mô hình có lãi lành mạnh","CHƯA ĐẠT — phải tăng containment, tăng giá, hoặc đổi biến thể HITL")</x:f>
        <x:v>ĐẠT — mô hình có lãi lành mạnh</x:v>
      </x:c>
    </x:row>
    <x:row r="37" ht="15" hidden="0">
      <x:c r="A37" s="11" t="s">
        <x:v>166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31" t="s">
        <x:v>167</x:v>
      </x:c>
      <x:c r="B38" s="31" t="s">
        <x:v>168</x:v>
      </x:c>
      <x:c r="C38" s="31" t="s">
        <x:v>169</x:v>
      </x:c>
      <x:c r="D38" s="31" t="s">
        <x:v>170</x:v>
      </x:c>
    </x:row>
    <x:row r="39" ht="15" hidden="0">
      <x:c r="A39" s="32" t="n">
        <x:v>0.5</x:v>
      </x:c>
      <x:c r="B39" s="18" t="n">
        <x:f aca="0">($B$29+$B$30+$B$31*(1-A39))/A39</x:f>
        <x:v>0.21689333333333333</x:v>
      </x:c>
      <x:c r="C39" s="20" t="n">
        <x:f aca="0">IF($B$19=0,0,1-B39/$B$19)</x:f>
        <x:v>0.8760609523809524</x:v>
      </x:c>
      <x:c r="D39" s="7" t="str">
        <x:f aca="0">IF(C39&gt;=0.6,"An toàn",IF(C39&gt;=0.5,"Cảnh báo","Nguy hiểm"))</x:f>
        <x:v>An toàn</x:v>
      </x:c>
    </x:row>
    <x:row r="40" ht="15" hidden="0">
      <x:c r="A40" s="32" t="n">
        <x:v>0.6</x:v>
      </x:c>
      <x:c r="B40" s="18" t="n">
        <x:f aca="0">($B$29+$B$30+$B$31*(1-A40))/A40</x:f>
        <x:v>0.18074444444444446</x:v>
      </x:c>
      <x:c r="C40" s="20" t="n">
        <x:f aca="0">IF($B$19=0,0,1-B40/$B$19)</x:f>
        <x:v>0.8967174603174604</x:v>
      </x:c>
      <x:c r="D40" s="7" t="str">
        <x:f aca="0">IF(C40&gt;=0.6,"An toàn",IF(C40&gt;=0.5,"Cảnh báo","Nguy hiểm"))</x:f>
        <x:v>An toàn</x:v>
      </x:c>
    </x:row>
    <x:row r="41" ht="15" hidden="0">
      <x:c r="A41" s="32" t="n">
        <x:v>0.7</x:v>
      </x:c>
      <x:c r="B41" s="18" t="n">
        <x:f aca="0">($B$29+$B$30+$B$31*(1-A41))/A41</x:f>
        <x:v>0.15492380952380952</x:v>
      </x:c>
      <x:c r="C41" s="20" t="n">
        <x:f aca="0">IF($B$19=0,0,1-B41/$B$19)</x:f>
        <x:v>0.9114721088435375</x:v>
      </x:c>
      <x:c r="D41" s="7" t="str">
        <x:f aca="0">IF(C41&gt;=0.6,"An toàn",IF(C41&gt;=0.5,"Cảnh báo","Nguy hiểm"))</x:f>
        <x:v>An toàn</x:v>
      </x:c>
    </x:row>
    <x:row r="42" ht="15" hidden="0">
      <x:c r="A42" s="32" t="n">
        <x:v>0.8</x:v>
      </x:c>
      <x:c r="B42" s="18" t="n">
        <x:f aca="0">($B$29+$B$30+$B$31*(1-A42))/A42</x:f>
        <x:v>0.1355583333333333</x:v>
      </x:c>
      <x:c r="C42" s="20" t="n">
        <x:f aca="0">IF($B$19=0,0,1-B42/$B$19)</x:f>
        <x:v>0.9225380952380953</x:v>
      </x:c>
      <x:c r="D42" s="7" t="str">
        <x:f aca="0">IF(C42&gt;=0.6,"An toàn",IF(C42&gt;=0.5,"Cảnh báo","Nguy hiểm"))</x:f>
        <x:v>An toàn</x:v>
      </x:c>
    </x:row>
    <x:row r="43" ht="15" hidden="0">
      <x:c r="A43" s="32" t="n">
        <x:v>0.9</x:v>
      </x:c>
      <x:c r="B43" s="18" t="n">
        <x:f aca="0">($B$29+$B$30+$B$31*(1-A43))/A43</x:f>
        <x:v>0.1204962962962963</x:v>
      </x:c>
      <x:c r="C43" s="20" t="n">
        <x:f aca="0">IF($B$19=0,0,1-B43/$B$19)</x:f>
        <x:v>0.9311449735449735</x:v>
      </x:c>
      <x:c r="D43" s="7" t="str">
        <x:f aca="0">IF(C43&gt;=0.6,"An toàn",IF(C43&gt;=0.5,"Cảnh báo","Nguy hiểm"))</x:f>
        <x:v>An toàn</x:v>
      </x:c>
    </x:row>
    <x:row r="44" ht="15" hidden="0">
      <x:c r="A44" s="32" t="n">
        <x:v>0.95</x:v>
      </x:c>
      <x:c r="B44" s="18" t="n">
        <x:f aca="0">($B$29+$B$30+$B$31*(1-A44))/A44</x:f>
        <x:v>0.11415438596491229</x:v>
      </x:c>
      <x:c r="C44" s="20" t="n">
        <x:f aca="0">IF($B$19=0,0,1-B44/$B$19)</x:f>
        <x:v>0.9347689223057644</x:v>
      </x:c>
      <x:c r="D44" s="7" t="str">
        <x:f aca="0">IF(C44&gt;=0.6,"An toàn",IF(C44&gt;=0.5,"Cảnh báo","Nguy hiểm"))</x:f>
        <x:v>An toàn</x:v>
      </x:c>
    </x:row>
    <x:row r="46" ht="15" hidden="0">
      <x:c r="A46" s="3" t="s">
        <x:v>171</x:v>
      </x:c>
    </x:row>
    <x:row r="48" ht="15" hidden="0">
      <x:c r="A48" s="11" t="s">
        <x:v>172</x:v>
      </x:c>
      <x:c r="B48" s="12"/>
      <x:c r="C48" s="12"/>
      <x:c r="D48" s="12"/>
      <x:c r="E48" s="12"/>
      <x:c r="F48" s="12"/>
      <x:c r="G48" s="12"/>
      <x:c r="H48" s="12"/>
    </x:row>
    <x:row r="49" ht="15" hidden="0">
      <x:c r="A49" s="10" t="s">
        <x:v>168</x:v>
      </x:c>
      <x:c r="B49" s="19" t="n">
        <x:f aca="0">B5</x:f>
        <x:v>0.5422333333333333</x:v>
      </x:c>
    </x:row>
    <x:row r="50" ht="15" hidden="0">
      <x:c r="A50" s="10" t="s">
        <x:v>173</x:v>
      </x:c>
      <x:c r="B50" s="19" t="n">
        <x:f aca="0">B7</x:f>
        <x:v>1.6267</x:v>
      </x:c>
    </x:row>
    <x:row r="51" ht="15" hidden="0">
      <x:c r="A51" s="10" t="s">
        <x:v>174</x:v>
      </x:c>
      <x:c r="B51" s="19" t="n">
        <x:f aca="0">B19</x:f>
        <x:v>1.75</x:v>
      </x:c>
    </x:row>
    <x:row r="52" ht="15" hidden="0">
      <x:c r="A52" s="10" t="s">
        <x:v>169</x:v>
      </x:c>
      <x:c r="B52" s="29" t="n">
        <x:f aca="0">B21</x:f>
        <x:v>0.690152380952381</x:v>
      </x:c>
    </x:row>
    <x:row r="53" ht="15" hidden="0">
      <x:c r="A53" s="10" t="s">
        <x:v>175</x:v>
      </x:c>
      <x:c r="B53" s="29" t="n">
        <x:f aca="0">B33</x:f>
        <x:v>0.1549238095238095</x:v>
      </x:c>
    </x:row>
  </x:sheetData>
  <x:pageMargins left="0.7" right="0.7" top="0.75" bottom="0.75" header="0.3" footer="0.3"/>
  <x:legacyDrawing xmlns:r="http://schemas.openxmlformats.org/officeDocument/2006/relationships" r:id="Ra427be26831041f2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2" hidden="0" customWidth="1"/>
    <x:col min="2" max="2" width="12" hidden="0" customWidth="1"/>
    <x:col min="3" max="3" width="50" hidden="0" customWidth="1"/>
    <x:col min="4" max="4" width="46" hidden="0" customWidth="1"/>
    <x:col min="5" max="8" width="15" hidden="0" customWidth="1"/>
  </x:cols>
  <x:sheetData>
    <x:row r="1" ht="24" hidden="0" customHeight="1">
      <x:c r="A1" s="1" t="s">
        <x:v>176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177</x:v>
      </x:c>
    </x:row>
    <x:row r="4" ht="15" hidden="0">
      <x:c r="A4" s="11" t="s">
        <x:v>178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179</x:v>
      </x:c>
      <x:c r="B5" s="13" t="n">
        <x:v>0</x:v>
      </x:c>
    </x:row>
    <x:row r="6" ht="15" hidden="0">
      <x:c r="A6" s="6" t="s">
        <x:v>180</x:v>
      </x:c>
      <x:c r="B6" s="13" t="n">
        <x:v>1</x:v>
      </x:c>
    </x:row>
    <x:row r="7" ht="15" hidden="0">
      <x:c r="A7" s="6" t="s">
        <x:v>181</x:v>
      </x:c>
      <x:c r="B7" s="13" t="n">
        <x:v>0</x:v>
      </x:c>
    </x:row>
    <x:row r="8" ht="15" hidden="0">
      <x:c r="A8" s="6" t="s">
        <x:v>182</x:v>
      </x:c>
      <x:c r="B8" s="13" t="n">
        <x:v>0</x:v>
      </x:c>
    </x:row>
    <x:row r="9" ht="15" hidden="0">
      <x:c r="A9" s="6" t="s">
        <x:v>183</x:v>
      </x:c>
      <x:c r="B9" s="13" t="n">
        <x:v>1</x:v>
      </x:c>
    </x:row>
    <x:row r="10" ht="15" hidden="0">
      <x:c r="A10" s="10" t="s">
        <x:v>184</x:v>
      </x:c>
      <x:c r="B10" s="33" t="n">
        <x:f aca="0">SUM(B5:B9)</x:f>
        <x:v>2</x:v>
      </x:c>
    </x:row>
    <x:row r="12" ht="15" hidden="0">
      <x:c r="A12" s="11" t="s">
        <x:v>185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186</x:v>
      </x:c>
      <x:c r="B13" s="13" t="n">
        <x:v>0</x:v>
      </x:c>
    </x:row>
    <x:row r="14" ht="15" hidden="0">
      <x:c r="A14" s="6" t="s">
        <x:v>187</x:v>
      </x:c>
      <x:c r="B14" s="13" t="n">
        <x:v>0</x:v>
      </x:c>
    </x:row>
    <x:row r="15" ht="15" hidden="0">
      <x:c r="A15" s="6" t="s">
        <x:v>188</x:v>
      </x:c>
      <x:c r="B15" s="13" t="n">
        <x:v>1</x:v>
      </x:c>
    </x:row>
    <x:row r="16" ht="15" hidden="0">
      <x:c r="A16" s="6" t="s">
        <x:v>189</x:v>
      </x:c>
      <x:c r="B16" s="13" t="n">
        <x:v>0</x:v>
      </x:c>
    </x:row>
    <x:row r="17" ht="15" hidden="0">
      <x:c r="A17" s="6" t="s">
        <x:v>190</x:v>
      </x:c>
      <x:c r="B17" s="13" t="n">
        <x:v>0</x:v>
      </x:c>
    </x:row>
    <x:row r="18" ht="15" hidden="0">
      <x:c r="A18" s="10" t="s">
        <x:v>191</x:v>
      </x:c>
      <x:c r="B18" s="33" t="n">
        <x:f aca="0">SUM(B13:B17)</x:f>
        <x:v>1</x:v>
      </x:c>
    </x:row>
    <x:row r="20" ht="15" hidden="0">
      <x:c r="A20" s="11" t="s">
        <x:v>192</x:v>
      </x:c>
      <x:c r="B20" s="12"/>
      <x:c r="C20" s="12"/>
      <x:c r="D20" s="12"/>
      <x:c r="E20" s="12"/>
      <x:c r="F20" s="12"/>
      <x:c r="G20" s="12"/>
      <x:c r="H20" s="12"/>
    </x:row>
    <x:row r="21" ht="15" hidden="0">
      <x:c r="A21" s="10" t="s">
        <x:v>193</x:v>
      </x:c>
      <x:c r="B21" s="34" t="str">
        <x:f aca="0">IF(AND(B10&gt;=7,B18&gt;=7),"OUTCOME",IF(AND(B10&gt;=7,B18&lt;7),"USAGE",IF(AND(B10&lt;7,B18&gt;=7),"USAGE (an toàn)","SEAT hoặc HYBRID")))</x:f>
        <x:v>SEAT hoặc HYBRID</x:v>
      </x:c>
    </x:row>
    <x:row r="22" ht="15" hidden="0">
      <x:c r="A22" s="3" t="s">
        <x:v>194</x:v>
      </x:c>
    </x:row>
    <x:row r="24" ht="15" hidden="0">
      <x:c r="A24" s="11" t="s">
        <x:v>195</x:v>
      </x:c>
      <x:c r="B24" s="12"/>
      <x:c r="C24" s="12"/>
      <x:c r="D24" s="12"/>
      <x:c r="E24" s="12"/>
      <x:c r="F24" s="12"/>
      <x:c r="G24" s="12"/>
      <x:c r="H24" s="12"/>
    </x:row>
    <x:row r="25" ht="15" hidden="0">
      <x:c r="A25" s="31" t="s">
        <x:v>196</x:v>
      </x:c>
      <x:c r="B25" s="31" t="s">
        <x:v>197</x:v>
      </x:c>
      <x:c r="C25" s="31" t="s">
        <x:v>198</x:v>
      </x:c>
      <x:c r="D25" s="31" t="s">
        <x:v>199</x:v>
      </x:c>
    </x:row>
    <x:row r="26" ht="15" hidden="0">
      <x:c r="A26" s="5" t="str">
        <x:v>Intercom Fin</x:v>
      </x:c>
      <x:c r="B26" s="5" t="str">
        <x:v>Resolution / Procedure handoff outcome</x:v>
      </x:c>
      <x:c r="C26" s="5" t="str">
        <x:v>$0.99 / outcome</x:v>
      </x:c>
      <x:c r="D26" s="5" t="str">
        <x:v>https://www.intercom.com/help/en/articles/8205718-fin-ai-agent-outcomes</x:v>
      </x:c>
    </x:row>
    <x:row r="27" ht="15" hidden="0">
      <x:c r="A27" s="5" t="str">
        <x:v>Zendesk AI agents</x:v>
      </x:c>
      <x:c r="B27" s="5" t="str">
        <x:v>Verified / automated resolution</x:v>
      </x:c>
      <x:c r="C27" s="5" t="str">
        <x:v>As low as $1.50 / resolution</x:v>
      </x:c>
      <x:c r="D27" s="5" t="str">
        <x:v>https://www.zendesk.com/service/ai/top-ai-agents/</x:v>
      </x:c>
    </x:row>
    <x:row r="29" ht="15" hidden="0">
      <x:c r="A29" s="11" t="s">
        <x:v>200</x:v>
      </x:c>
      <x:c r="B29" s="12"/>
      <x:c r="C29" s="12"/>
      <x:c r="D29" s="12"/>
      <x:c r="E29" s="12"/>
      <x:c r="F29" s="12"/>
      <x:c r="G29" s="12"/>
      <x:c r="H29" s="12"/>
    </x:row>
    <x:row r="30" ht="15" hidden="0">
      <x:c r="A30" s="6" t="s">
        <x:v>201</x:v>
      </x:c>
      <x:c r="B30" s="5" t="str">
        <x:v>HYBRID</x:v>
      </x:c>
    </x:row>
    <x:row r="31" ht="15" hidden="0">
      <x:c r="A31" s="6" t="s">
        <x:v>202</x:v>
      </x:c>
      <x:c r="B31" s="5" t="str">
        <x:v>Not different: scorecard suggests SEAT or HYBRID; Hybrid separates access from measured usage.</x:v>
      </x:c>
    </x:row>
    <x:row r="32" ht="15" hidden="0">
      <x:c r="A32" s="6" t="s">
        <x:v>203</x:v>
      </x:c>
      <x:c r="B32" s="5" t="str">
        <x:v>I choose Hybrid: platform access/governance plus per completed grounded package; the official tab models the usage leg.</x:v>
      </x:c>
    </x:row>
    <x:row r="33" ht="15" hidden="0">
      <x:c r="A33" s="6" t="s">
        <x:v>204</x:v>
      </x:c>
      <x:c r="B33" s="5" t="str">
        <x:v>Attribution 2/10 and Autonomy 1/10: local 5-case evidence is not customer causal proof and 4/5 cases need review.</x:v>
      </x:c>
    </x:row>
    <x:row r="34" ht="15" hidden="0">
      <x:c r="A34" s="6" t="s">
        <x:v>205</x:v>
      </x:c>
      <x:c r="B34" s="5" t="str">
        <x:v>Below about 12.4% autonomous containment, GM falls below 50% at the $1.75/job usage price.</x:v>
      </x:c>
    </x:row>
  </x:sheetData>
  <x:pageMargins left="0.7" right="0.7" top="0.75" bottom="0.75" header="0.3" footer="0.3"/>
  <x:legacyDrawing xmlns:r="http://schemas.openxmlformats.org/officeDocument/2006/relationships" r:id="Re52d79374a804cf5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206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207</x:v>
      </x:c>
    </x:row>
    <x:row r="4" ht="15" hidden="0">
      <x:c r="A4" s="11" t="s">
        <x:v>208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209</x:v>
      </x:c>
      <x:c r="B5" s="27" t="n">
        <x:v>1050</x:v>
      </x:c>
    </x:row>
    <x:row r="6" ht="15" hidden="0">
      <x:c r="A6" s="6" t="s">
        <x:v>210</x:v>
      </x:c>
      <x:c r="B6" s="30" t="n">
        <x:f aca="0">'2_Pricing'!B21</x:f>
        <x:v>0.690152380952381</x:v>
      </x:c>
    </x:row>
    <x:row r="7" ht="15" hidden="0">
      <x:c r="A7" s="6" t="s">
        <x:v>211</x:v>
      </x:c>
      <x:c r="B7" s="13" t="str">
        <x:v>Mid</x:v>
      </x:c>
    </x:row>
    <x:row r="8" ht="15" hidden="0">
      <x:c r="A8" s="6" t="s">
        <x:v>212</x:v>
      </x:c>
      <x:c r="B8" s="16" t="n">
        <x:f aca="0">IF(B7="SMB",12,IF(B7="Mid",18,24))</x:f>
        <x:v>18</x:v>
      </x:c>
      <x:c r="C8" s="3" t="s">
        <x:v>213</x:v>
      </x:c>
      <x:c r="D8" s="3" t="s">
        <x:v>214</x:v>
      </x:c>
    </x:row>
    <x:row r="9" ht="15" hidden="0">
      <x:c r="A9" s="10" t="s">
        <x:v>215</x:v>
      </x:c>
      <x:c r="B9" s="35" t="n">
        <x:f aca="0">B5*B6*B8</x:f>
        <x:v>13043.88</x:v>
      </x:c>
      <x:c r="D9" s="3" t="s">
        <x:v>216</x:v>
      </x:c>
    </x:row>
    <x:row r="10" ht="15" hidden="0">
      <x:c r="A10" s="6" t="s">
        <x:v>217</x:v>
      </x:c>
      <x:c r="B10" s="36" t="n">
        <x:f aca="0">B5*12</x:f>
        <x:v>12600</x:v>
      </x:c>
    </x:row>
    <x:row r="12" ht="15" hidden="0">
      <x:c r="A12" s="11" t="s">
        <x:v>218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219</x:v>
      </x:c>
      <x:c r="B13" s="27" t="n">
        <x:v>500000</x:v>
      </x:c>
      <x:c r="D13" s="3" t="s">
        <x:v>220</x:v>
      </x:c>
    </x:row>
    <x:row r="14" ht="15" hidden="0">
      <x:c r="A14" s="6" t="s">
        <x:v>221</x:v>
      </x:c>
      <x:c r="B14" s="14" t="n">
        <x:v>220</x:v>
      </x:c>
      <x:c r="C14" s="3" t="s">
        <x:v>222</x:v>
      </x:c>
    </x:row>
    <x:row r="15" ht="15" hidden="0">
      <x:c r="A15" s="6" t="s">
        <x:v>223</x:v>
      </x:c>
      <x:c r="B15" s="16" t="n">
        <x:f aca="0">IF(B10=0,0,B13/B10)</x:f>
        <x:v>39.682539682539684</x:v>
      </x:c>
    </x:row>
    <x:row r="16" ht="15" hidden="0">
      <x:c r="A16" s="10" t="s">
        <x:v>224</x:v>
      </x:c>
      <x:c r="B16" s="37" t="n">
        <x:f aca="0">IF(B14=0,0,B15/B14)</x:f>
        <x:v>0.18037518037518038</x:v>
      </x:c>
      <x:c r="C16" s="3" t="s">
        <x:v>225</x:v>
      </x:c>
    </x:row>
    <x:row r="17" ht="15" hidden="0">
      <x:c r="A17" s="6" t="s">
        <x:v>226</x:v>
      </x:c>
      <x:c r="B17" s="7" t="str">
        <x:f aca="0">IF(B16&lt;=1,"KHẢ THI về mặt số học","BẤT KHẢ THI — ACV quá thấp để nuôi sales rep")</x:f>
        <x:v>KHẢ THI về mặt số học</x:v>
      </x:c>
    </x:row>
    <x:row r="19" ht="15" hidden="0">
      <x:c r="A19" s="11" t="s">
        <x:v>227</x:v>
      </x:c>
      <x:c r="B19" s="12"/>
      <x:c r="C19" s="12"/>
      <x:c r="D19" s="12"/>
      <x:c r="E19" s="12"/>
      <x:c r="F19" s="12"/>
      <x:c r="G19" s="12"/>
      <x:c r="H19" s="12"/>
    </x:row>
    <x:row r="20" ht="15" hidden="0">
      <x:c r="A20" s="6" t="s">
        <x:v>228</x:v>
      </x:c>
      <x:c r="B20" s="27" t="n">
        <x:v>3000</x:v>
      </x:c>
      <x:c r="D20" s="3" t="s">
        <x:v>229</x:v>
      </x:c>
    </x:row>
    <x:row r="21" ht="15" hidden="0">
      <x:c r="A21" s="6" t="s">
        <x:v>230</x:v>
      </x:c>
      <x:c r="B21" s="15" t="n">
        <x:v>0.25</x:v>
      </x:c>
    </x:row>
    <x:row r="22" ht="15" hidden="0">
      <x:c r="A22" s="6" t="s">
        <x:v>231</x:v>
      </x:c>
      <x:c r="B22" s="36" t="n">
        <x:f aca="0">IF(B21=0,0,B20/B21)</x:f>
        <x:v>12000</x:v>
      </x:c>
    </x:row>
    <x:row r="23" ht="15" hidden="0">
      <x:c r="A23" s="10" t="s">
        <x:v>232</x:v>
      </x:c>
      <x:c r="B23" s="38" t="n">
        <x:f aca="0">IF(B9=0,0,B22/B9)</x:f>
        <x:v>0.919971664872722</x:v>
      </x:c>
      <x:c r="D23" s="3" t="s">
        <x:v>233</x:v>
      </x:c>
    </x:row>
    <x:row r="24" ht="15" hidden="0">
      <x:c r="A24" s="6" t="s">
        <x:v>165</x:v>
      </x:c>
      <x:c r="B24" s="7" t="str">
        <x:f aca="0">IF(B23&lt;=1,"Motion có sales KHẢ THI",IF(B23&lt;=3,"Căng — cần tăng giá hoặc giảm chi phí bán hàng","KHÔNG KHẢ THI — đi PLG hoặc Partner-Led"))</x:f>
        <x:v>Motion có sales KHẢ THI</x:v>
      </x:c>
    </x:row>
    <x:row r="26" ht="15" hidden="0">
      <x:c r="A26" s="11" t="s">
        <x:v>234</x:v>
      </x:c>
      <x:c r="B26" s="12"/>
      <x:c r="C26" s="12"/>
      <x:c r="D26" s="12"/>
      <x:c r="E26" s="12"/>
      <x:c r="F26" s="12"/>
      <x:c r="G26" s="12"/>
      <x:c r="H26" s="12"/>
    </x:row>
    <x:row r="27" ht="15" hidden="0">
      <x:c r="A27" s="31" t="s">
        <x:v>235</x:v>
      </x:c>
      <x:c r="B27" s="31" t="s">
        <x:v>236</x:v>
      </x:c>
      <x:c r="C27" s="31" t="s">
        <x:v>237</x:v>
      </x:c>
      <x:c r="D27" s="31" t="s">
        <x:v>238</x:v>
      </x:c>
    </x:row>
    <x:row r="28" ht="15" hidden="0">
      <x:c r="A28" s="6" t="s">
        <x:v>239</x:v>
      </x:c>
      <x:c r="B28" s="13" t="n">
        <x:v>1</x:v>
      </x:c>
      <x:c r="C28" s="13" t="n">
        <x:v>5</x:v>
      </x:c>
      <x:c r="D28" s="13" t="n">
        <x:v>2</x:v>
      </x:c>
    </x:row>
    <x:row r="29" ht="15" hidden="0">
      <x:c r="A29" s="6" t="s">
        <x:v>240</x:v>
      </x:c>
      <x:c r="B29" s="13" t="n">
        <x:v>1</x:v>
      </x:c>
      <x:c r="C29" s="13" t="n">
        <x:v>5</x:v>
      </x:c>
      <x:c r="D29" s="13" t="n">
        <x:v>2</x:v>
      </x:c>
    </x:row>
    <x:row r="30" ht="15" hidden="0">
      <x:c r="A30" s="6" t="s">
        <x:v>241</x:v>
      </x:c>
      <x:c r="B30" s="13" t="n">
        <x:v>1</x:v>
      </x:c>
      <x:c r="C30" s="13" t="n">
        <x:v>5</x:v>
      </x:c>
      <x:c r="D30" s="13" t="n">
        <x:v>2</x:v>
      </x:c>
    </x:row>
    <x:row r="31" ht="15" hidden="0">
      <x:c r="A31" s="6" t="s">
        <x:v>242</x:v>
      </x:c>
      <x:c r="B31" s="13" t="n">
        <x:v>1</x:v>
      </x:c>
      <x:c r="C31" s="13" t="n">
        <x:v>5</x:v>
      </x:c>
      <x:c r="D31" s="13" t="n">
        <x:v>1</x:v>
      </x:c>
    </x:row>
    <x:row r="32" ht="15" hidden="0">
      <x:c r="A32" s="6" t="s">
        <x:v>243</x:v>
      </x:c>
      <x:c r="B32" s="13" t="n">
        <x:v>1</x:v>
      </x:c>
      <x:c r="C32" s="13" t="n">
        <x:v>5</x:v>
      </x:c>
      <x:c r="D32" s="13" t="n">
        <x:v>2</x:v>
      </x:c>
    </x:row>
    <x:row r="33" ht="15" hidden="0">
      <x:c r="A33" s="6" t="s">
        <x:v>244</x:v>
      </x:c>
      <x:c r="B33" s="13" t="n">
        <x:v>1</x:v>
      </x:c>
      <x:c r="C33" s="13" t="n">
        <x:v>5</x:v>
      </x:c>
      <x:c r="D33" s="13" t="n">
        <x:v>2</x:v>
      </x:c>
    </x:row>
    <x:row r="34" ht="15" hidden="0">
      <x:c r="A34" s="10" t="s">
        <x:v>245</x:v>
      </x:c>
      <x:c r="B34" s="34" t="n">
        <x:f aca="0">SUM(B28:B33)</x:f>
        <x:v>6</x:v>
      </x:c>
      <x:c r="C34" s="34" t="n">
        <x:f aca="0">SUM(C28:C33)</x:f>
        <x:v>30</x:v>
      </x:c>
      <x:c r="D34" s="34" t="n">
        <x:f aca="0">SUM(D28:D33)</x:f>
        <x:v>11</x:v>
      </x:c>
    </x:row>
    <x:row r="35" ht="15" hidden="0">
      <x:c r="A35" s="10" t="s">
        <x:v>246</x:v>
      </x:c>
      <x:c r="B35" s="34" t="str">
        <x:f aca="0">IF(AND(B34&gt;=C34,B34&gt;=D34),"PLG",IF(C34&gt;=D34,"Sales-Led","Partner-Led"))</x:f>
        <x:v>Sales-Led</x:v>
      </x:c>
    </x:row>
    <x:row r="37" ht="15" hidden="0">
      <x:c r="A37" s="11" t="s">
        <x:v>247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6" t="s">
        <x:v>248</x:v>
      </x:c>
      <x:c r="B38" s="5" t="str">
        <x:v>Sales-Led</x:v>
      </x:c>
      <x:c r="D38" s="3" t="s">
        <x:v>249</x:v>
      </x:c>
    </x:row>
    <x:row r="39" ht="15" hidden="0">
      <x:c r="A39" s="6" t="s">
        <x:v>250</x:v>
      </x:c>
      <x:c r="B39" s="5" t="str">
        <x:v>N/A - Sales-Led selected</x:v>
      </x:c>
      <x:c r="D39" s="3" t="s">
        <x:v>251</x:v>
      </x:c>
    </x:row>
    <x:row r="40" ht="15" hidden="0">
      <x:c r="A40" s="6" t="s">
        <x:v>252</x:v>
      </x:c>
      <x:c r="B40" s="5" t="str">
        <x:v>N/A - Sales-Led selected</x:v>
      </x:c>
    </x:row>
    <x:row r="41" ht="15" hidden="0">
      <x:c r="A41" s="6" t="s">
        <x:v>253</x:v>
      </x:c>
      <x:c r="B41" s="5" t="str">
        <x:v>N/A - no partner channel selected</x:v>
      </x:c>
    </x:row>
    <x:row r="42" ht="15" hidden="0">
      <x:c r="A42" s="6" t="s">
        <x:v>254</x:v>
      </x:c>
      <x:c r="B42" s="5" t="str">
        <x:v>N/A - fallback is founder-led Sales-Led pilot</x:v>
      </x:c>
      <x:c r="D42" s="3" t="s">
        <x:v>255</x:v>
      </x:c>
    </x:row>
  </x:sheetData>
  <x:dataValidations count="1">
    <x:dataValidation type="list" errorStyle="stop" operator="between" allowBlank="0" showDropDown="0" showInputMessage="0" showErrorMessage="0" sqref="B7">
      <x:formula1>"SMB,Mid,Enterprise"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dec83252d6a1462f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4" width="34" hidden="0" customWidth="1"/>
    <x:col min="5" max="8" width="15" hidden="0" customWidth="1"/>
  </x:cols>
  <x:sheetData>
    <x:row r="1" ht="24" hidden="0" customHeight="1">
      <x:c r="A1" s="1" t="s">
        <x:v>256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257</x:v>
      </x:c>
    </x:row>
    <x:row r="4" ht="15" hidden="0">
      <x:c r="A4" s="11" t="s">
        <x:v>258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259</x:v>
      </x:c>
      <x:c r="B5" s="5" t="str">
        <x:v>09:00-11:00 after an overnight alert burst</x:v>
      </x:c>
    </x:row>
    <x:row r="6" ht="15" hidden="0">
      <x:c r="A6" s="6" t="s">
        <x:v>260</x:v>
      </x:c>
      <x:c r="B6" s="5" t="str">
        <x:v>Fraud analyst triages high-risk transaction alerts and prepares evidence/risk rationale before manual disposition</x:v>
      </x:c>
    </x:row>
    <x:row r="7" ht="15" hidden="0">
      <x:c r="A7" s="6" t="s">
        <x:v>261</x:v>
      </x:c>
      <x:c r="B7" s="5" t="str">
        <x:v>Existing fraud-operations alert investigation queue/dashboard</x:v>
      </x:c>
    </x:row>
    <x:row r="8" ht="15" hidden="0">
      <x:c r="A8" s="6" t="s">
        <x:v>262</x:v>
      </x:c>
      <x:c r="B8" s="5" t="str">
        <x:v>Queue side panel; Kafka -&gt; fraud engine -&gt; REST analyze</x:v>
      </x:c>
      <x:c r="D8" s="3" t="s">
        <x:v>263</x:v>
      </x:c>
    </x:row>
    <x:row r="10" ht="15" hidden="0">
      <x:c r="A10" s="11" t="s">
        <x:v>264</x:v>
      </x:c>
      <x:c r="B10" s="12"/>
      <x:c r="C10" s="12"/>
      <x:c r="D10" s="12"/>
      <x:c r="E10" s="12"/>
      <x:c r="F10" s="12"/>
      <x:c r="G10" s="12"/>
      <x:c r="H10" s="12"/>
    </x:row>
    <x:row r="11" ht="15" hidden="0">
      <x:c r="A11" s="31"/>
      <x:c r="B11" s="31" t="s">
        <x:v>265</x:v>
      </x:c>
      <x:c r="C11" s="31" t="s">
        <x:v>266</x:v>
      </x:c>
      <x:c r="D11" s="31" t="s">
        <x:v>267</x:v>
      </x:c>
    </x:row>
    <x:row r="12" ht="30" hidden="0" customHeight="1">
      <x:c r="A12" s="6" t="s">
        <x:v>268</x:v>
      </x:c>
      <x:c r="B12" s="39" t="str">
        <x:v>Sales-Led founder-led design-partner motion</x:v>
      </x:c>
      <x:c r="C12" s="39" t="str">
        <x:v>Sales-Led paid pilot motion</x:v>
      </x:c>
      <x:c r="D12" s="39" t="str">
        <x:v>Sales-Led expansion within adjacent payment-processor accounts</x:v>
      </x:c>
    </x:row>
    <x:row r="13" ht="30" hidden="0" customHeight="1">
      <x:c r="A13" s="6" t="s">
        <x:v>269</x:v>
      </x:c>
      <x:c r="B13" s="39" t="str">
        <x:v>2 design partners</x:v>
      </x:c>
      <x:c r="C13" s="39" t="str">
        <x:v>2 pilot customers / 6,000 labeled jobs</x:v>
      </x:c>
      <x:c r="D13" s="39" t="str">
        <x:v>2 paying customers + 1 adjacent segment</x:v>
      </x:c>
    </x:row>
    <x:row r="14" ht="30" hidden="0" customHeight="1">
      <x:c r="A14" s="6" t="s">
        <x:v>270</x:v>
      </x:c>
      <x:c r="B14" s="39" t="str">
        <x:v>8 fraud-ops interviews; produce pain notes and security-gap log</x:v>
      </x:c>
      <x:c r="C14" s="39" t="str">
        <x:v>Run 2 pilots; instrument completion, autonomy, retries and latency</x:v>
      </x:c>
      <x:c r="D14" s="39" t="str">
        <x:v>Standardize procurement pack; add multi-merchant processor playbook</x:v>
      </x:c>
    </x:row>
    <x:row r="15" ht="30" hidden="0" customHeight="1">
      <x:c r="A15" s="6" t="s">
        <x:v>271</x:v>
      </x:c>
      <x:c r="B15" s="39" t="str">
        <x:v>Create 300-case baseline manifest and manual-vs-Copilot protocol</x:v>
      </x:c>
      <x:c r="C15" s="39" t="str">
        <x:v>Weekly analyst review; compare paired time-on-task and safety outcomes</x:v>
      </x:c>
      <x:c r="D15" s="39" t="str">
        <x:v>Quarterly customer review; expand only after KPI gates</x:v>
      </x:c>
    </x:row>
    <x:row r="16" ht="30" hidden="0" customHeight="1">
      <x:c r="A16" s="6" t="s">
        <x:v>272</x:v>
      </x:c>
      <x:c r="B16" s="39" t="str">
        <x:v>Evidence: interview notes, 300-case manifest, security-gap register</x:v>
      </x:c>
      <x:c r="C16" s="39" t="str">
        <x:v>Evidence: pilot log, paired-time dataset, weekly safety/latency report</x:v>
      </x:c>
      <x:c r="D16" s="39" t="str">
        <x:v>Evidence: signed pilot report, procurement closeout and expansion case study</x:v>
      </x:c>
    </x:row>
    <x:row r="17" ht="30" hidden="0" customHeight="1">
      <x:c r="A17" s="6" t="s">
        <x:v>273</x:v>
      </x:c>
      <x:c r="B17" s="39" t="str">
        <x:v>KPI: 8 interviews, 2 design partners, 300 labeled jobs</x:v>
      </x:c>
      <x:c r="C17" s="39" t="str">
        <x:v>KPI: &gt;=85% package completion; autonomy separate; &gt;=70% blended GM; CAC &lt;=$32k</x:v>
      </x:c>
      <x:c r="D17" s="39" t="str">
        <x:v>KPI: 2 paid; no unsafe auto-action; auth/RBAC + retention closed</x:v>
      </x:c>
    </x:row>
    <x:row r="18" ht="30" hidden="0" customHeight="1">
      <x:c r="A18" s="6" t="s">
        <x:v>274</x:v>
      </x:c>
      <x:c r="B18" s="39" t="str">
        <x:v>Nguyen Quang Huy + 2 design-partner fraud leads</x:v>
      </x:c>
      <x:c r="C18" s="39" t="str">
        <x:v>Nguyen Quang Huy; customer fraud team owns final disposition</x:v>
      </x:c>
      <x:c r="D18" s="39" t="str">
        <x:v>Nguyen Quang Huy + customer champion</x:v>
      </x:c>
    </x:row>
    <x:row r="19" ht="15" hidden="0">
      <x:c r="A19" s="3" t="s">
        <x:v>275</x:v>
      </x:c>
    </x:row>
    <x:row r="21" ht="15" hidden="0">
      <x:c r="A21" s="11" t="s">
        <x:v>276</x:v>
      </x:c>
      <x:c r="B21" s="12"/>
      <x:c r="C21" s="12"/>
      <x:c r="D21" s="12"/>
      <x:c r="E21" s="12"/>
      <x:c r="F21" s="12"/>
      <x:c r="G21" s="12"/>
      <x:c r="H21" s="12"/>
    </x:row>
    <x:row r="22" ht="15" hidden="0">
      <x:c r="A22" s="31" t="s">
        <x:v>277</x:v>
      </x:c>
      <x:c r="B22" s="31" t="s">
        <x:v>278</x:v>
      </x:c>
      <x:c r="C22" s="31" t="s">
        <x:v>279</x:v>
      </x:c>
      <x:c r="D22" s="31" t="s">
        <x:v>280</x:v>
      </x:c>
    </x:row>
    <x:row r="23" ht="33.75" hidden="0" customHeight="1">
      <x:c r="A23" s="6" t="s">
        <x:v>281</x:v>
      </x:c>
      <x:c r="B23" s="39" t="str">
        <x:v>PARTIAL - LOCAL CONTROLLED EVAL</x:v>
      </x:c>
      <x:c r="C23" s="39" t="str">
        <x:v>5 cases: 80% commercial package completion, 20% autonomous containment, 80% human review, 20% grounding failure; not customer evidence</x:v>
      </x:c>
      <x:c r="D23" s="39" t="str">
        <x:v>Nguyen Quang Huy - 2026-09-30</x:v>
      </x:c>
    </x:row>
    <x:row r="24" ht="33.75" hidden="0" customHeight="1">
      <x:c r="A24" s="6" t="s">
        <x:v>282</x:v>
      </x:c>
      <x:c r="B24" s="39" t="str">
        <x:v>PARTIAL</x:v>
      </x:c>
      <x:c r="C24" s="39" t="str">
        <x:v>Grounding/fallback/redaction evidenced; auth/RBAC, retention, TLS, vendor terms and live deployment remain open</x:v>
      </x:c>
      <x:c r="D24" s="39" t="str">
        <x:v>Nguyen Quang Huy - before pilot / 2026-10-15</x:v>
      </x:c>
    </x:row>
    <x:row r="25" ht="33.75" hidden="0" customHeight="1">
      <x:c r="A25" s="6" t="s">
        <x:v>283</x:v>
      </x:c>
      <x:c r="B25" s="39" t="str">
        <x:v>PLANNED / NOT EXECUTED / MISSING EVIDENCE</x:v>
      </x:c>
      <x:c r="C25" s="39" t="str">
        <x:v>2 design partners, 6,000 labeled jobs and paired manual baseline; no customer result claimed</x:v>
      </x:c>
      <x:c r="D25" s="39" t="str">
        <x:v>Nguyen Quang Huy - 2026-12-04</x:v>
      </x:c>
    </x:row>
    <x:row r="26" ht="15" hidden="0">
      <x:c r="A26" s="3" t="s">
        <x:v>284</x:v>
      </x:c>
    </x:row>
    <x:row r="28" ht="15" hidden="0">
      <x:c r="A28" s="11" t="s">
        <x:v>285</x:v>
      </x:c>
      <x:c r="B28" s="12"/>
      <x:c r="C28" s="12"/>
      <x:c r="D28" s="12"/>
      <x:c r="E28" s="12"/>
      <x:c r="F28" s="12"/>
      <x:c r="G28" s="12"/>
      <x:c r="H28" s="12"/>
    </x:row>
    <x:row r="29" ht="15" hidden="0">
      <x:c r="A29" s="6" t="s">
        <x:v>286</x:v>
      </x:c>
      <x:c r="B29" s="5" t="str">
        <x:v>Có - product, buyer and unit are stated</x:v>
      </x:c>
    </x:row>
    <x:row r="30" ht="15" hidden="0">
      <x:c r="A30" s="6" t="s">
        <x:v>287</x:v>
      </x:c>
      <x:c r="B30" s="5" t="str">
        <x:v>Có - Cost/Job, floor, price and GM are shown</x:v>
      </x:c>
    </x:row>
    <x:row r="31" ht="15" hidden="0">
      <x:c r="A31" s="6" t="s">
        <x:v>288</x:v>
      </x:c>
      <x:c r="B31" s="5" t="str">
        <x:v>Có - Sales-Led and affordability math are shown</x:v>
      </x:c>
    </x:row>
    <x:row r="32" ht="15" hidden="0">
      <x:c r="A32" s="6" t="s">
        <x:v>289</x:v>
      </x:c>
      <x:c r="B32" s="5" t="str">
        <x:v>NOT YET TESTED - target &lt;=3 clarification questions</x:v>
      </x:c>
    </x:row>
  </x:sheetData>
  <x:pageMargins left="0.7" right="0.7" top="0.75" bottom="0.75" header="0.3" footer="0.3"/>
  <x:legacyDrawing xmlns:r="http://schemas.openxmlformats.org/officeDocument/2006/relationships" r:id="R56552386c8304c4b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0" hidden="0" customWidth="1"/>
    <x:col min="3" max="3" width="20" hidden="0" customWidth="1"/>
    <x:col min="4" max="4" width="16" hidden="0" customWidth="1"/>
    <x:col min="5" max="5" width="56" hidden="0" customWidth="1"/>
    <x:col min="6" max="8" width="15" hidden="0" customWidth="1"/>
  </x:cols>
  <x:sheetData>
    <x:row r="1" ht="24" hidden="0" customHeight="1">
      <x:c r="A1" s="1" t="s">
        <x:v>290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291</x:v>
      </x:c>
    </x:row>
    <x:row r="3" ht="15" hidden="0">
      <x:c r="A3" s="6" t="s">
        <x:v>292</x:v>
      </x:c>
      <x:c r="B3" s="5" t="str">
        <x:v>2026-08-27</x:v>
      </x:c>
      <x:c r="D3" s="3" t="s">
        <x:v>293</x:v>
      </x:c>
    </x:row>
    <x:row r="5" ht="15" hidden="0">
      <x:c r="A5" s="40" t="s">
        <x:v>294</x:v>
      </x:c>
      <x:c r="B5" s="40" t="s">
        <x:v>295</x:v>
      </x:c>
      <x:c r="C5" s="40" t="s">
        <x:v>296</x:v>
      </x:c>
      <x:c r="D5" s="40" t="s">
        <x:v>297</x:v>
      </x:c>
      <x:c r="E5" s="40" t="s">
        <x:v>298</x:v>
      </x:c>
    </x:row>
    <x:row r="6" ht="15" hidden="0">
      <x:c r="A6" s="41" t="s">
        <x:v>122</x:v>
      </x:c>
      <x:c r="B6" s="41" t="s">
        <x:v>299</x:v>
      </x:c>
      <x:c r="C6" s="41" t="s">
        <x:v>300</x:v>
      </x:c>
      <x:c r="D6" s="41" t="s">
        <x:v>301</x:v>
      </x:c>
      <x:c r="E6" s="42" t="s">
        <x:v>302</x:v>
      </x:c>
    </x:row>
    <x:row r="7" ht="15" hidden="0">
      <x:c r="A7" s="41" t="s">
        <x:v>122</x:v>
      </x:c>
      <x:c r="B7" s="41" t="s">
        <x:v>303</x:v>
      </x:c>
      <x:c r="C7" s="41" t="s">
        <x:v>304</x:v>
      </x:c>
      <x:c r="D7" s="41" t="s">
        <x:v>301</x:v>
      </x:c>
      <x:c r="E7" s="42" t="s">
        <x:v>302</x:v>
      </x:c>
    </x:row>
    <x:row r="8" ht="15" hidden="0">
      <x:c r="A8" s="41" t="s">
        <x:v>122</x:v>
      </x:c>
      <x:c r="B8" s="41" t="s">
        <x:v>305</x:v>
      </x:c>
      <x:c r="C8" s="41" t="s">
        <x:v>306</x:v>
      </x:c>
      <x:c r="D8" s="41" t="s">
        <x:v>301</x:v>
      </x:c>
      <x:c r="E8" s="42" t="s">
        <x:v>302</x:v>
      </x:c>
    </x:row>
    <x:row r="9" ht="15" hidden="0">
      <x:c r="A9" s="41" t="s">
        <x:v>122</x:v>
      </x:c>
      <x:c r="B9" s="41" t="s">
        <x:v>307</x:v>
      </x:c>
      <x:c r="C9" s="41" t="s">
        <x:v>308</x:v>
      </x:c>
      <x:c r="D9" s="41" t="s">
        <x:v>309</x:v>
      </x:c>
      <x:c r="E9" s="42" t="s">
        <x:v>302</x:v>
      </x:c>
    </x:row>
    <x:row r="10" ht="22.350000381469727" hidden="0">
      <x:c r="A10" s="41" t="s">
        <x:v>122</x:v>
      </x:c>
      <x:c r="B10" s="41" t="s">
        <x:v>310</x:v>
      </x:c>
      <x:c r="C10" s="41" t="s">
        <x:v>311</x:v>
      </x:c>
      <x:c r="D10" s="41" t="s">
        <x:v>301</x:v>
      </x:c>
      <x:c r="E10" s="42" t="s">
        <x:v>312</x:v>
      </x:c>
    </x:row>
    <x:row r="11" ht="15" hidden="0">
      <x:c r="A11" s="41" t="s">
        <x:v>122</x:v>
      </x:c>
      <x:c r="B11" s="41" t="s">
        <x:v>313</x:v>
      </x:c>
      <x:c r="C11" s="41" t="s">
        <x:v>314</x:v>
      </x:c>
      <x:c r="D11" s="41" t="s">
        <x:v>301</x:v>
      </x:c>
      <x:c r="E11" s="42" t="s">
        <x:v>315</x:v>
      </x:c>
    </x:row>
    <x:row r="12" ht="15" hidden="0">
      <x:c r="A12" s="41" t="s">
        <x:v>122</x:v>
      </x:c>
      <x:c r="B12" s="41" t="s">
        <x:v>316</x:v>
      </x:c>
      <x:c r="C12" s="41" t="s">
        <x:v>317</x:v>
      </x:c>
      <x:c r="D12" s="41" t="s">
        <x:v>309</x:v>
      </x:c>
      <x:c r="E12" s="42" t="s">
        <x:v>315</x:v>
      </x:c>
    </x:row>
    <x:row r="13" ht="15" hidden="0">
      <x:c r="A13" s="41" t="s">
        <x:v>122</x:v>
      </x:c>
      <x:c r="B13" s="41" t="s">
        <x:v>318</x:v>
      </x:c>
      <x:c r="C13" s="41" t="s">
        <x:v>319</x:v>
      </x:c>
      <x:c r="D13" s="41" t="s">
        <x:v>301</x:v>
      </x:c>
      <x:c r="E13" s="42" t="s">
        <x:v>320</x:v>
      </x:c>
    </x:row>
    <x:row r="14" ht="22.350000381469727" hidden="0">
      <x:c r="A14" s="41" t="s">
        <x:v>122</x:v>
      </x:c>
      <x:c r="B14" s="41" t="s">
        <x:v>321</x:v>
      </x:c>
      <x:c r="C14" s="41" t="s">
        <x:v>322</x:v>
      </x:c>
      <x:c r="D14" s="41" t="s">
        <x:v>301</x:v>
      </x:c>
      <x:c r="E14" s="42" t="s">
        <x:v>323</x:v>
      </x:c>
    </x:row>
    <x:row r="15" ht="15" hidden="0">
      <x:c r="A15" s="41" t="s">
        <x:v>324</x:v>
      </x:c>
      <x:c r="B15" s="41" t="s">
        <x:v>325</x:v>
      </x:c>
      <x:c r="C15" s="41" t="s">
        <x:v>326</x:v>
      </x:c>
      <x:c r="D15" s="41" t="s">
        <x:v>327</x:v>
      </x:c>
      <x:c r="E15" s="42" t="s">
        <x:v>328</x:v>
      </x:c>
    </x:row>
    <x:row r="16" ht="15" hidden="0">
      <x:c r="A16" s="41" t="s">
        <x:v>324</x:v>
      </x:c>
      <x:c r="B16" s="41" t="s">
        <x:v>329</x:v>
      </x:c>
      <x:c r="C16" s="41" t="s">
        <x:v>330</x:v>
      </x:c>
      <x:c r="D16" s="41" t="s">
        <x:v>327</x:v>
      </x:c>
      <x:c r="E16" s="42" t="s">
        <x:v>331</x:v>
      </x:c>
    </x:row>
    <x:row r="17" ht="15" hidden="0">
      <x:c r="A17" s="41" t="s">
        <x:v>324</x:v>
      </x:c>
      <x:c r="B17" s="41" t="s">
        <x:v>332</x:v>
      </x:c>
      <x:c r="C17" s="41" t="s">
        <x:v>333</x:v>
      </x:c>
      <x:c r="D17" s="41" t="s">
        <x:v>327</x:v>
      </x:c>
      <x:c r="E17" s="42" t="s">
        <x:v>334</x:v>
      </x:c>
    </x:row>
    <x:row r="18" ht="15" hidden="0">
      <x:c r="A18" s="41" t="s">
        <x:v>324</x:v>
      </x:c>
      <x:c r="B18" s="41" t="s">
        <x:v>335</x:v>
      </x:c>
      <x:c r="C18" s="41" t="s">
        <x:v>336</x:v>
      </x:c>
      <x:c r="D18" s="41" t="s">
        <x:v>327</x:v>
      </x:c>
      <x:c r="E18" s="42" t="s">
        <x:v>315</x:v>
      </x:c>
    </x:row>
    <x:row r="19" ht="15" hidden="0">
      <x:c r="A19" s="41" t="s">
        <x:v>337</x:v>
      </x:c>
      <x:c r="B19" s="41" t="s">
        <x:v>338</x:v>
      </x:c>
      <x:c r="C19" s="41" t="s">
        <x:v>339</x:v>
      </x:c>
      <x:c r="D19" s="41" t="s">
        <x:v>340</x:v>
      </x:c>
      <x:c r="E19" s="42" t="s">
        <x:v>341</x:v>
      </x:c>
    </x:row>
    <x:row r="20" ht="15" hidden="0">
      <x:c r="A20" s="41" t="s">
        <x:v>337</x:v>
      </x:c>
      <x:c r="B20" s="41" t="s">
        <x:v>342</x:v>
      </x:c>
      <x:c r="C20" s="41" t="s">
        <x:v>343</x:v>
      </x:c>
      <x:c r="D20" s="41" t="s">
        <x:v>340</x:v>
      </x:c>
      <x:c r="E20" s="42" t="s">
        <x:v>315</x:v>
      </x:c>
    </x:row>
    <x:row r="21" ht="15" hidden="0">
      <x:c r="A21" s="41" t="s">
        <x:v>337</x:v>
      </x:c>
      <x:c r="B21" s="41" t="s">
        <x:v>344</x:v>
      </x:c>
      <x:c r="C21" s="41" t="s">
        <x:v>345</x:v>
      </x:c>
      <x:c r="D21" s="41" t="s">
        <x:v>340</x:v>
      </x:c>
      <x:c r="E21" s="42" t="s">
        <x:v>346</x:v>
      </x:c>
    </x:row>
    <x:row r="22" ht="15" hidden="0">
      <x:c r="A22" s="41" t="s">
        <x:v>337</x:v>
      </x:c>
      <x:c r="B22" s="41" t="s">
        <x:v>347</x:v>
      </x:c>
      <x:c r="C22" s="41" t="s">
        <x:v>348</x:v>
      </x:c>
      <x:c r="D22" s="41" t="s">
        <x:v>340</x:v>
      </x:c>
      <x:c r="E22" s="42" t="s">
        <x:v>346</x:v>
      </x:c>
    </x:row>
    <x:row r="23" ht="15" hidden="0">
      <x:c r="A23" s="41" t="s">
        <x:v>349</x:v>
      </x:c>
      <x:c r="B23" s="41" t="s">
        <x:v>350</x:v>
      </x:c>
      <x:c r="C23" s="41" t="s">
        <x:v>351</x:v>
      </x:c>
      <x:c r="D23" s="41" t="s">
        <x:v>352</x:v>
      </x:c>
      <x:c r="E23" s="42" t="s">
        <x:v>353</x:v>
      </x:c>
    </x:row>
    <x:row r="24" ht="15" hidden="0">
      <x:c r="A24" s="41" t="s">
        <x:v>354</x:v>
      </x:c>
      <x:c r="B24" s="41" t="s">
        <x:v>355</x:v>
      </x:c>
      <x:c r="C24" s="41" t="s">
        <x:v>356</x:v>
      </x:c>
      <x:c r="D24" s="41" t="s">
        <x:v>357</x:v>
      </x:c>
      <x:c r="E24" s="42" t="s">
        <x:v>358</x:v>
      </x:c>
    </x:row>
    <x:row r="25" ht="15" hidden="0">
      <x:c r="A25" s="41" t="s">
        <x:v>354</x:v>
      </x:c>
      <x:c r="B25" s="41" t="s">
        <x:v>359</x:v>
      </x:c>
      <x:c r="C25" s="41" t="s">
        <x:v>360</x:v>
      </x:c>
      <x:c r="D25" s="41" t="s">
        <x:v>357</x:v>
      </x:c>
      <x:c r="E25" s="42" t="s">
        <x:v>361</x:v>
      </x:c>
    </x:row>
    <x:row r="26" ht="22.350000381469727" hidden="0">
      <x:c r="A26" s="41" t="s">
        <x:v>354</x:v>
      </x:c>
      <x:c r="B26" s="41" t="s">
        <x:v>362</x:v>
      </x:c>
      <x:c r="C26" s="41" t="s">
        <x:v>363</x:v>
      </x:c>
      <x:c r="D26" s="41" t="s">
        <x:v>309</x:v>
      </x:c>
      <x:c r="E26" s="42" t="s">
        <x:v>364</x:v>
      </x:c>
    </x:row>
    <x:row r="27" ht="15" hidden="0">
      <x:c r="A27" s="41" t="s">
        <x:v>365</x:v>
      </x:c>
      <x:c r="B27" s="41" t="s">
        <x:v>366</x:v>
      </x:c>
      <x:c r="C27" s="41" t="s">
        <x:v>367</x:v>
      </x:c>
      <x:c r="D27" s="41" t="s">
        <x:v>368</x:v>
      </x:c>
      <x:c r="E27" s="42" t="s">
        <x:v>369</x:v>
      </x:c>
    </x:row>
    <x:row r="28" ht="15" hidden="0">
      <x:c r="A28" s="41" t="s">
        <x:v>365</x:v>
      </x:c>
      <x:c r="B28" s="41" t="s">
        <x:v>370</x:v>
      </x:c>
      <x:c r="C28" s="41" t="s">
        <x:v>371</x:v>
      </x:c>
      <x:c r="D28" s="41" t="s">
        <x:v>368</x:v>
      </x:c>
      <x:c r="E28" s="42" t="s">
        <x:v>369</x:v>
      </x:c>
    </x:row>
    <x:row r="29" ht="22.350000381469727" hidden="0">
      <x:c r="A29" s="41" t="s">
        <x:v>365</x:v>
      </x:c>
      <x:c r="B29" s="41" t="s">
        <x:v>372</x:v>
      </x:c>
      <x:c r="C29" s="41" t="s">
        <x:v>373</x:v>
      </x:c>
      <x:c r="D29" s="41" t="s">
        <x:v>374</x:v>
      </x:c>
      <x:c r="E29" s="42" t="s">
        <x:v>375</x:v>
      </x:c>
    </x:row>
    <x:row r="30" ht="15" hidden="0">
      <x:c r="A30" s="41" t="s">
        <x:v>365</x:v>
      </x:c>
      <x:c r="B30" s="41" t="s">
        <x:v>376</x:v>
      </x:c>
      <x:c r="C30" s="41" t="s">
        <x:v>377</x:v>
      </x:c>
      <x:c r="D30" s="41" t="s">
        <x:v>378</x:v>
      </x:c>
      <x:c r="E30" s="42" t="s">
        <x:v>379</x:v>
      </x:c>
    </x:row>
    <x:row r="31" ht="15" hidden="0">
      <x:c r="A31" s="41" t="s">
        <x:v>365</x:v>
      </x:c>
      <x:c r="B31" s="41" t="s">
        <x:v>380</x:v>
      </x:c>
      <x:c r="C31" s="41" t="s">
        <x:v>381</x:v>
      </x:c>
      <x:c r="D31" s="41" t="s">
        <x:v>382</x:v>
      </x:c>
      <x:c r="E31" s="42" t="s">
        <x:v>379</x:v>
      </x:c>
    </x:row>
    <x:row r="32" ht="15" hidden="0">
      <x:c r="A32" s="41" t="s">
        <x:v>365</x:v>
      </x:c>
      <x:c r="B32" s="41" t="s">
        <x:v>383</x:v>
      </x:c>
      <x:c r="C32" s="41" t="s">
        <x:v>384</x:v>
      </x:c>
      <x:c r="D32" s="41" t="s">
        <x:v>378</x:v>
      </x:c>
      <x:c r="E32" s="42" t="s">
        <x:v>385</x:v>
      </x:c>
    </x:row>
    <x:row r="33" ht="15" hidden="0">
      <x:c r="A33" s="41" t="s">
        <x:v>365</x:v>
      </x:c>
      <x:c r="B33" s="41" t="s">
        <x:v>386</x:v>
      </x:c>
      <x:c r="C33" s="41" t="s">
        <x:v>387</x:v>
      </x:c>
      <x:c r="D33" s="41" t="s">
        <x:v>388</x:v>
      </x:c>
      <x:c r="E33" s="42" t="s">
        <x:v>385</x:v>
      </x:c>
    </x:row>
    <x:row r="34" ht="15" hidden="0">
      <x:c r="A34" s="41" t="s">
        <x:v>365</x:v>
      </x:c>
      <x:c r="B34" s="41" t="s">
        <x:v>389</x:v>
      </x:c>
      <x:c r="C34" s="41" t="s">
        <x:v>390</x:v>
      </x:c>
      <x:c r="D34" s="41" t="s">
        <x:v>391</x:v>
      </x:c>
      <x:c r="E34" s="42" t="s">
        <x:v>392</x:v>
      </x:c>
    </x:row>
    <x:row r="35" ht="15" hidden="0">
      <x:c r="A35" s="41" t="s">
        <x:v>393</x:v>
      </x:c>
      <x:c r="B35" s="41" t="s">
        <x:v>394</x:v>
      </x:c>
      <x:c r="C35" s="41" t="s">
        <x:v>395</x:v>
      </x:c>
      <x:c r="D35" s="41" t="s">
        <x:v>396</x:v>
      </x:c>
      <x:c r="E35" s="42" t="s">
        <x:v>397</x:v>
      </x:c>
    </x:row>
    <x:row r="36" ht="15" hidden="0">
      <x:c r="A36" s="41" t="s">
        <x:v>393</x:v>
      </x:c>
      <x:c r="B36" s="41" t="s">
        <x:v>398</x:v>
      </x:c>
      <x:c r="C36" s="41" t="s">
        <x:v>399</x:v>
      </x:c>
      <x:c r="D36" s="41" t="s">
        <x:v>396</x:v>
      </x:c>
      <x:c r="E36" s="42" t="s">
        <x:v>400</x:v>
      </x:c>
    </x:row>
    <x:row r="37" ht="15" hidden="0">
      <x:c r="A37" s="41" t="s">
        <x:v>393</x:v>
      </x:c>
      <x:c r="B37" s="41" t="s">
        <x:v>401</x:v>
      </x:c>
      <x:c r="C37" s="41" t="s">
        <x:v>402</x:v>
      </x:c>
      <x:c r="D37" s="41" t="s">
        <x:v>396</x:v>
      </x:c>
      <x:c r="E37" s="42" t="s">
        <x:v>403</x:v>
      </x:c>
    </x:row>
    <x:row r="38" ht="15" hidden="0">
      <x:c r="A38" s="41" t="s">
        <x:v>393</x:v>
      </x:c>
      <x:c r="B38" s="41" t="s">
        <x:v>404</x:v>
      </x:c>
      <x:c r="C38" s="41" t="s">
        <x:v>405</x:v>
      </x:c>
      <x:c r="D38" s="41" t="s">
        <x:v>213</x:v>
      </x:c>
      <x:c r="E38" s="42" t="s">
        <x:v>400</x:v>
      </x:c>
    </x:row>
    <x:row r="39" ht="15" hidden="0">
      <x:c r="A39" s="41" t="s">
        <x:v>393</x:v>
      </x:c>
      <x:c r="B39" s="41" t="s">
        <x:v>406</x:v>
      </x:c>
      <x:c r="C39" s="41" t="s">
        <x:v>407</x:v>
      </x:c>
      <x:c r="D39" s="41" t="s">
        <x:v>408</x:v>
      </x:c>
      <x:c r="E39" s="42" t="s">
        <x:v>409</x:v>
      </x:c>
    </x:row>
    <x:row r="40" ht="15" hidden="0">
      <x:c r="A40" s="41" t="s">
        <x:v>393</x:v>
      </x:c>
      <x:c r="B40" s="41" t="s">
        <x:v>410</x:v>
      </x:c>
      <x:c r="C40" s="41" t="s">
        <x:v>411</x:v>
      </x:c>
      <x:c r="D40" s="41" t="s">
        <x:v>412</x:v>
      </x:c>
      <x:c r="E40" s="42" t="s">
        <x:v>413</x:v>
      </x:c>
    </x:row>
    <x:row r="41" ht="15" hidden="0">
      <x:c r="A41" s="41" t="s">
        <x:v>393</x:v>
      </x:c>
      <x:c r="B41" s="41" t="s">
        <x:v>414</x:v>
      </x:c>
      <x:c r="C41" s="41" t="s">
        <x:v>415</x:v>
      </x:c>
      <x:c r="D41" s="41" t="s">
        <x:v>416</x:v>
      </x:c>
      <x:c r="E41" s="42" t="s">
        <x:v>417</x:v>
      </x:c>
    </x:row>
    <x:row r="43" ht="15" hidden="0">
      <x:c r="A43" s="3" t="s">
        <x:v>418</x:v>
      </x:c>
    </x:row>
  </x:sheetData>
  <x:pageMargins left="0.7" right="0.7" top="0.75" bottom="0.75" header="0.3" footer="0.3"/>
</x:worksheet>
</file>