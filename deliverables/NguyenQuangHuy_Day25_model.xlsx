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e0f33414c47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_README" sheetId="1" r:id="Rff6b4c6d53704e1e"/>
    <x:sheet xmlns:r="http://schemas.openxmlformats.org/officeDocument/2006/relationships" name="1_Cost_Job" sheetId="2" r:id="Rdeb30f5b3d364aba"/>
    <x:sheet xmlns:r="http://schemas.openxmlformats.org/officeDocument/2006/relationships" name="2_Pricing" sheetId="3" r:id="Rc60d2c033170493b"/>
    <x:sheet xmlns:r="http://schemas.openxmlformats.org/officeDocument/2006/relationships" name="3_Value_Metric" sheetId="4" r:id="R8b0cc42343064990"/>
    <x:sheet xmlns:r="http://schemas.openxmlformats.org/officeDocument/2006/relationships" name="4_Channel_Fit" sheetId="5" r:id="R86bb1cbf6ffe4ab5"/>
    <x:sheet xmlns:r="http://schemas.openxmlformats.org/officeDocument/2006/relationships" name="5_90Day_Plan" sheetId="6" r:id="R38d9ee09641b46b9"/>
    <x:sheet xmlns:r="http://schemas.openxmlformats.org/officeDocument/2006/relationships" name="6_Benchmarks" sheetId="7" r:id="R6b30a5ac87b041bf"/>
  </x:sheets>
</x:workbook>
</file>

<file path=xl/comments1.xml><?xml version="1.0" encoding="utf-8"?>
<x:comments xmlns:x="http://schemas.openxmlformats.org/spreadsheetml/2006/main">
  <x:authors>
    <x:author>tc={8C6B42AC-4492-1D6C-A1B2-A4CF19A1EF5D}</x:author>
    <x:author>tc={AFC9F5BB-9E64-64E3-05FF-F98BED27CF9A}</x:author>
  </x:authors>
  <x:commentList>
    <x:comment ref="C2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https://developers.openai.com/api/docs/models/gpt-5.5 checked 2026-08-27. GPT-5.5 Standard short-context input price used in the base scenario.</x:t>
        </x:r>
      </x:text>
    </x:comment>
    <x:comment ref="C4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https://supabase.com/pricing checked 2026-08-27. Pro plan is $25/month; additional app/compute/logging reserve is an explicit assumption.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tc={B3FCCD8C-D8CB-3686-90E4-BFEB44BAD775}</x:author>
  </x:authors>
  <x:commentList>
    <x:comment ref="C1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Formula: solve for the commercial package-completion rate p in direct_cost / (price x attempts x p, with QA cost per completed package) &lt;= 1 - GM_target. This is not an autonomous-containment threshold; local autonomous containment is 20%.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;[Red](#,##0);-"/>
    <x:numFmt numFmtId="201" formatCode="0.0%;[Red](0.0%);-"/>
    <x:numFmt numFmtId="202" formatCode="0.00;[Red](0.00);-"/>
    <x:numFmt numFmtId="203" formatCode="0.000;[Red](0.000);-"/>
    <x:numFmt numFmtId="204" formatCode="$#,##0;[Red]($#,##0);-"/>
    <x:numFmt numFmtId="205" formatCode="0.00x"/>
    <x:numFmt numFmtId="206" formatCode="yyyy-mm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B6770"/>
      <x:name val="Carlito"/>
    </x:font>
    <x:font>
      <x:b/>
      <x:sz val="11"/>
      <x:color rgb="FF7A3E00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183B56"/>
      <x:name val="Carlito"/>
    </x:font>
    <x:font>
      <x:b/>
      <x:sz val="11"/>
      <x:color rgb="FF1F2937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0"/>
      <x:color rgb="FFFFFFFF"/>
      <x:name val="Aptos"/>
    </x:font>
    <x:font>
      <x:i/>
      <x:sz val="10"/>
      <x:color rgb="FF5B6770"/>
      <x:name val="Aptos"/>
    </x:font>
    <x:font>
      <x:sz val="10"/>
      <x:name val="Aptos"/>
    </x:font>
    <x:font>
      <x:b/>
      <x:sz val="10"/>
      <x:color rgb="FF7A3E00"/>
      <x:name val="Aptos"/>
    </x:font>
    <x:font>
      <x:b/>
      <x:sz val="10"/>
      <x:color rgb="FF183B56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sz val="10"/>
      <x:color rgb="FF008000"/>
      <x:name val="Aptos"/>
    </x:font>
    <x:font>
      <x:b/>
      <x:sz val="16"/>
      <x:color rgb="FFFFFFFF"/>
      <x:name val="Aptos Display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F4F8FB"/>
      </x:patternFill>
    </x:fill>
    <x:fill>
      <x:patternFill patternType="solid">
        <x:fgColor rgb="FFFCE8D5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E8F1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8" borderId="0" xfId="0" applyNumberFormat="1" applyFont="1" applyFill="1" applyBorder="1" applyAlignment="1">
      <x:alignment wrapText="1"/>
    </x:xf>
    <x:xf numFmtId="201" fontId="8" fillId="8" borderId="0" xfId="0" applyNumberFormat="1" applyFont="1" applyFill="1" applyBorder="1" applyAlignment="1">
      <x:alignment wrapText="1"/>
    </x:xf>
    <x:xf numFmtId="200" fontId="9" fillId="0" borderId="0" xfId="0" applyNumberFormat="1" applyFont="1" applyFill="1" applyBorder="1" applyAlignment="1">
      <x:alignment wrapText="1"/>
    </x:xf>
    <x:xf numFmtId="202" fontId="8" fillId="8" borderId="0" xfId="0" applyNumberFormat="1" applyFont="1" applyFill="1" applyBorder="1" applyAlignment="1">
      <x:alignment wrapText="1"/>
    </x:xf>
    <x:xf numFmtId="201" fontId="9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0" fontId="5" fillId="3" borderId="5" xfId="0" applyNumberFormat="1" applyFont="1" applyFill="1" applyBorder="1"/>
    <x:xf numFmtId="0" fontId="5" fillId="3" borderId="6" xfId="0" applyNumberFormat="1" applyFont="1" applyFill="1" applyBorder="1"/>
    <x:xf numFmtId="0" fontId="5" fillId="3" borderId="7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2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5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8" xfId="0" applyNumberFormat="1" applyFont="1" applyFill="1" applyBorder="1" applyAlignment="1">
      <x:alignment vertical="top" wrapText="1"/>
    </x:xf>
    <x:xf numFmtId="0" fontId="5" fillId="3" borderId="9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wrapText="1"/>
    </x:xf>
    <x:xf numFmtId="203" fontId="9" fillId="0" borderId="0" xfId="0" applyNumberFormat="1" applyFont="1" applyFill="1" applyBorder="1" applyAlignment="1">
      <x:alignment wrapText="1"/>
    </x:xf>
    <x:xf numFmtId="204" fontId="9" fillId="0" borderId="0" xfId="0" applyNumberFormat="1" applyFont="1" applyFill="1" applyBorder="1" applyAlignment="1">
      <x:alignment wrapText="1"/>
    </x:xf>
    <x:xf numFmtId="205" fontId="9" fillId="0" borderId="0" xfId="0" applyNumberFormat="1" applyFont="1" applyFill="1" applyBorder="1" applyAlignment="1">
      <x:alignment wrapText="1"/>
    </x:xf>
    <x:xf numFmtId="206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4" fillId="4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17" fillId="7" borderId="1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wrapText="1"/>
    </x:xf>
    <x:xf numFmtId="200" fontId="18" fillId="8" borderId="0" xfId="0" applyNumberFormat="1" applyFont="1" applyFill="1" applyBorder="1" applyAlignment="1">
      <x:alignment wrapText="1"/>
    </x:xf>
    <x:xf numFmtId="201" fontId="18" fillId="8" borderId="0" xfId="0" applyNumberFormat="1" applyFont="1" applyFill="1" applyBorder="1" applyAlignment="1">
      <x:alignment wrapText="1"/>
    </x:xf>
    <x:xf numFmtId="200" fontId="19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202" fontId="18" fillId="8" borderId="0" xfId="0" applyNumberFormat="1" applyFont="1" applyFill="1" applyBorder="1" applyAlignment="1">
      <x:alignment wrapText="1"/>
    </x:xf>
    <x:xf numFmtId="201" fontId="19" fillId="0" borderId="0" xfId="0" applyNumberFormat="1" applyFont="1" applyFill="1" applyBorder="1" applyAlignment="1">
      <x:alignment wrapText="1"/>
    </x:xf>
    <x:xf numFmtId="0" fontId="16" fillId="3" borderId="2" xfId="0" applyNumberFormat="1" applyFont="1" applyFill="1" applyBorder="1" applyAlignment="1">
      <x:alignment vertical="top" wrapText="1"/>
    </x:xf>
    <x:xf numFmtId="0" fontId="16" fillId="3" borderId="3" xfId="0" applyNumberFormat="1" applyFont="1" applyFill="1" applyBorder="1" applyAlignment="1">
      <x:alignment vertical="top" wrapText="1"/>
    </x:xf>
    <x:xf numFmtId="0" fontId="16" fillId="3" borderId="4" xfId="0" applyNumberFormat="1" applyFont="1" applyFill="1" applyBorder="1" applyAlignment="1">
      <x:alignment vertical="top" wrapText="1"/>
    </x:xf>
    <x:xf numFmtId="0" fontId="16" fillId="3" borderId="5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3" borderId="6" xfId="0" applyNumberFormat="1" applyFont="1" applyFill="1" applyBorder="1" applyAlignment="1">
      <x:alignment vertical="top" wrapText="1"/>
    </x:xf>
    <x:xf numFmtId="0" fontId="16" fillId="3" borderId="7" xfId="0" applyNumberFormat="1" applyFont="1" applyFill="1" applyBorder="1" applyAlignment="1">
      <x:alignment vertical="top" wrapText="1"/>
    </x:xf>
    <x:xf numFmtId="0" fontId="16" fillId="3" borderId="8" xfId="0" applyNumberFormat="1" applyFont="1" applyFill="1" applyBorder="1" applyAlignment="1">
      <x:alignment vertical="top" wrapText="1"/>
    </x:xf>
    <x:xf numFmtId="0" fontId="16" fillId="3" borderId="9" xfId="0" applyNumberFormat="1" applyFont="1" applyFill="1" applyBorder="1" applyAlignment="1">
      <x:alignment vertical="top" wrapText="1"/>
    </x:xf>
    <x:xf numFmtId="0" fontId="19" fillId="3" borderId="0" xfId="0" applyNumberFormat="1" applyFont="1" applyFill="1" applyBorder="1" applyAlignment="1">
      <x:alignment wrapText="1"/>
    </x:xf>
    <x:xf numFmtId="0" fontId="20" fillId="3" borderId="0" xfId="0" applyNumberFormat="1" applyFont="1" applyFill="1" applyBorder="1" applyAlignment="1">
      <x:alignment wrapText="1"/>
    </x:xf>
    <x:xf numFmtId="203" fontId="19" fillId="0" borderId="0" xfId="0" applyNumberFormat="1" applyFont="1" applyFill="1" applyBorder="1" applyAlignment="1">
      <x:alignment wrapText="1"/>
    </x:xf>
    <x:xf numFmtId="204" fontId="19" fillId="0" borderId="0" xfId="0" applyNumberFormat="1" applyFont="1" applyFill="1" applyBorder="1" applyAlignment="1">
      <x:alignment wrapText="1"/>
    </x:xf>
    <x:xf numFmtId="205" fontId="19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206" fontId="16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wrapText="1"/>
    </x:xf>
    <x:xf numFmtId="0" fontId="2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7c08a6099f497f" /><Relationship Type="http://schemas.openxmlformats.org/officeDocument/2006/relationships/theme" Target="/xl/theme/theme1.xml" Id="R21d737b63e0b4432" /><Relationship Type="http://schemas.openxmlformats.org/officeDocument/2006/relationships/sharedStrings" Target="/xl/sharedStrings.xml" Id="Rb59b475442db4ab1" /><Relationship Type="http://schemas.openxmlformats.org/officeDocument/2006/relationships/worksheet" Target="/xl/worksheets/sheet1.xml" Id="Rff6b4c6d53704e1e" /><Relationship Type="http://schemas.openxmlformats.org/officeDocument/2006/relationships/worksheet" Target="/xl/worksheets/sheet2.xml" Id="Rdeb30f5b3d364aba" /><Relationship Type="http://schemas.openxmlformats.org/officeDocument/2006/relationships/worksheet" Target="/xl/worksheets/sheet3.xml" Id="Rc60d2c033170493b" /><Relationship Type="http://schemas.openxmlformats.org/officeDocument/2006/relationships/worksheet" Target="/xl/worksheets/sheet4.xml" Id="R8b0cc42343064990" /><Relationship Type="http://schemas.openxmlformats.org/officeDocument/2006/relationships/worksheet" Target="/xl/worksheets/sheet5.xml" Id="R86bb1cbf6ffe4ab5" /><Relationship Type="http://schemas.openxmlformats.org/officeDocument/2006/relationships/worksheet" Target="/xl/worksheets/sheet6.xml" Id="R38d9ee09641b46b9" /><Relationship Type="http://schemas.openxmlformats.org/officeDocument/2006/relationships/worksheet" Target="/xl/worksheets/sheet7.xml" Id="R6b30a5ac87b041bf" /><Relationship Type="http://schemas.microsoft.com/office/2017/10/relationships/person" Target="/xl/persons/person.xml" Id="R6b0c4528caae44c3" /></Relationships>
</file>

<file path=xl/persons/person.xml><?xml version="1.0" encoding="utf-8"?>
<xltc:personList xmlns:xltc="http://schemas.microsoft.com/office/spreadsheetml/2018/threadedcomments">
  <xltc:person displayName="Nguyen Quang Huy" id="{E079779B-DE5C-4155-8082-ED79D5AB835E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26" dT="2026-08-27T03:23:09.159" personId="{E079779B-DE5C-4155-8082-ED79D5AB835E}" id="{8C6B42AC-4492-1D6C-A1B2-A4CF19A1EF5D}">
    <xltc:text>Source: https://developers.openai.com/api/docs/models/gpt-5.5 checked 2026-08-27. GPT-5.5 Standard short-context input price used in the base scenario.</xltc:text>
  </xltc:threadedComment>
  <xltc:threadedComment ref="C44" dT="2026-08-27T03:23:09.165" personId="{E079779B-DE5C-4155-8082-ED79D5AB835E}" id="{AFC9F5BB-9E64-64E3-05FF-F98BED27CF9A}">
    <xltc:text>Source: https://supabase.com/pricing checked 2026-08-27. Pro plan is $25/month; additional app/compute/logging reserve is an explicit assumption.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16" dT="2026-08-27T03:23:09.165" personId="{E079779B-DE5C-4155-8082-ED79D5AB835E}" id="{B3FCCD8C-D8CB-3686-90E4-BFEB44BAD775}">
    <xltc:text>Formula: solve for the commercial package-completion rate p in direct_cost / (price x attempts x p, with QA cost per completed package) &lt;= 1 - GM_target. This is not an autonomous-containment threshold; local autonomous containment is 20%.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0f280d64bb04e67" /><Relationship Type="http://schemas.openxmlformats.org/officeDocument/2006/relationships/vmlDrawing" Target="/xl/drawings/vmldrawing.vml" Id="R289cd61af6424c09" /><Relationship Type="http://schemas.microsoft.com/office/2017/10/relationships/threadedComment" Target="/xl/threadedcomments/threadedcomment.xml" Id="Rfb35434e48f4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c3a7ebdc78864127" /><Relationship Type="http://schemas.openxmlformats.org/officeDocument/2006/relationships/vmlDrawing" Target="/xl/drawings/vmldrawing2.vml" Id="R4a4a985b91504186" /><Relationship Type="http://schemas.microsoft.com/office/2017/10/relationships/threadedComment" Target="/xl/threadedcomments/threadedcomment2.xml" Id="Reab38d836a5c40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29" hidden="0" customWidth="1"/>
    <x:col min="4" max="4" width="27" hidden="0" customWidth="1"/>
    <x:col min="5" max="5" width="44" hidden="0" customWidth="1"/>
    <x:col min="6" max="6" width="20" hidden="0" customWidth="1"/>
  </x:cols>
  <x:sheetData>
    <x:row r="1" ht="28" customHeight="1">
      <x:c r="A1" s="100" t="str">
        <x:v>DAY25 | AI Pricing, GTM &amp; Evidence Model</x:v>
      </x:c>
      <x:c r="B1" s="100" t="str">
        <x:v>DAY25 | AI Pricing, GTM &amp; Evidence Model</x:v>
      </x:c>
      <x:c r="C1" s="100" t="str">
        <x:v>DAY25 | AI Pricing, GTM &amp; Evidence Model</x:v>
      </x:c>
      <x:c r="D1" s="100" t="str">
        <x:v>DAY25 | AI Pricing, GTM &amp; Evidence Model</x:v>
      </x:c>
      <x:c r="E1" s="100" t="str">
        <x:v>DAY25 | AI Pricing, GTM &amp; Evidence Model</x:v>
      </x:c>
      <x:c r="F1" s="100" t="str">
        <x:v>DAY25 | AI Pricing, GTM &amp; Evidence Model</x:v>
      </x:c>
    </x:row>
    <x:row r="2" ht="28" customHeight="1">
      <x:c r="A2" s="68" t="str">
        <x:v>Student: Nguyen Quang Huy | ID: 2A202601873 | Product: P-015 AI Fraud Investigation Copilot | Currency: VND unless noted</x:v>
      </x:c>
      <x:c r="B2" s="68" t="str">
        <x:v>Student: Nguyen Quang Huy | ID: 2A202601873 | Product: P-015 AI Fraud Investigation Copilot | Currency: VND unless noted</x:v>
      </x:c>
      <x:c r="C2" s="68" t="str">
        <x:v>Student: Nguyen Quang Huy | ID: 2A202601873 | Product: P-015 AI Fraud Investigation Copilot | Currency: VND unless noted</x:v>
      </x:c>
      <x:c r="D2" s="68" t="str">
        <x:v>Student: Nguyen Quang Huy | ID: 2A202601873 | Product: P-015 AI Fraud Investigation Copilot | Currency: VND unless noted</x:v>
      </x:c>
      <x:c r="E2" s="68" t="str">
        <x:v>Student: Nguyen Quang Huy | ID: 2A202601873 | Product: P-015 AI Fraud Investigation Copilot | Currency: VND unless noted</x:v>
      </x:c>
      <x:c r="F2" s="68" t="str">
        <x:v>Student: Nguyen Quang Huy | ID: 2A202601873 | Product: P-015 AI Fraud Investigation Copilot | Currency: VND unless noted</x:v>
      </x:c>
    </x:row>
    <x:row r="3">
      <x:c r="A3" s="69"/>
      <x:c r="B3" s="69"/>
      <x:c r="C3" s="69"/>
      <x:c r="D3" s="69"/>
      <x:c r="E3" s="69"/>
      <x:c r="F3" s="69"/>
    </x:row>
    <x:row r="4">
      <x:c r="A4" s="70" t="str">
        <x:v>Status: PARTIAL - official Day28 workbook/DOCX template not found in searched local paths; transparent substitute used</x:v>
      </x:c>
      <x:c r="B4" s="70" t="str"/>
      <x:c r="C4" s="70" t="str"/>
      <x:c r="D4" s="70" t="str"/>
      <x:c r="E4" s="70" t="str"/>
      <x:c r="F4" s="70" t="str"/>
    </x:row>
    <x:row r="5">
      <x:c r="A5" s="69"/>
      <x:c r="B5" s="69"/>
      <x:c r="C5" s="69"/>
      <x:c r="D5" s="69"/>
      <x:c r="E5" s="69"/>
      <x:c r="F5" s="69"/>
    </x:row>
    <x:row r="6" ht="22" customHeight="1">
      <x:c r="A6" s="71" t="str">
        <x:v>How to use this model</x:v>
      </x:c>
      <x:c r="B6" s="71" t="str">
        <x:v>How to use this model</x:v>
      </x:c>
      <x:c r="C6" s="71" t="str">
        <x:v>How to use this model</x:v>
      </x:c>
      <x:c r="D6" s="71" t="str">
        <x:v>How to use this model</x:v>
      </x:c>
      <x:c r="E6" s="71" t="str">
        <x:v>How to use this model</x:v>
      </x:c>
      <x:c r="F6" s="71" t="str">
        <x:v>How to use this model</x:v>
      </x:c>
    </x:row>
    <x:row r="7">
      <x:c r="A7" s="72" t="str">
        <x:v>Purpose</x:v>
      </x:c>
      <x:c r="B7" s="73" t="str">
        <x:v>Defensible pricing, GTM affordability and evidence pack for P-015.</x:v>
      </x:c>
      <x:c r="C7" s="73" t="str"/>
      <x:c r="D7" s="73" t="str"/>
      <x:c r="E7" s="73" t="str"/>
      <x:c r="F7" s="73" t="str"/>
    </x:row>
    <x:row r="8">
      <x:c r="A8" s="72" t="str">
        <x:v>Editable inputs</x:v>
      </x:c>
      <x:c r="B8" s="73" t="str">
        <x:v>Yellow cells with blue text. Do not overwrite formula cells.</x:v>
      </x:c>
      <x:c r="C8" s="73" t="str"/>
      <x:c r="D8" s="73" t="str"/>
      <x:c r="E8" s="73" t="str"/>
      <x:c r="F8" s="73" t="str"/>
    </x:row>
    <x:row r="9">
      <x:c r="A9" s="72" t="str">
        <x:v>Formula outputs</x:v>
      </x:c>
      <x:c r="B9" s="73" t="str">
        <x:v>Black text; cross-sheet links are green where useful for tracing.</x:v>
      </x:c>
      <x:c r="C9" s="73" t="str"/>
      <x:c r="D9" s="73" t="str"/>
      <x:c r="E9" s="73" t="str"/>
      <x:c r="F9" s="73" t="str"/>
    </x:row>
    <x:row r="10">
      <x:c r="A10" s="72" t="str">
        <x:v>Source of truth</x:v>
      </x:c>
      <x:c r="B10" s="73" t="str">
        <x:v>P-015 repo artifacts and docs; current first-party vendor pages checked 2026-08-27; labeled assumptions where measured data is absent.</x:v>
      </x:c>
      <x:c r="C10" s="73" t="str"/>
      <x:c r="D10" s="73" t="str"/>
      <x:c r="E10" s="73" t="str"/>
      <x:c r="F10" s="73" t="str"/>
    </x:row>
    <x:row r="11">
      <x:c r="A11" s="72" t="str">
        <x:v>Primary decision</x:v>
      </x:c>
      <x:c r="B11" s="73" t="str">
        <x:v>Hybrid value metric: monthly platform fee plus per completed investigation job.</x:v>
      </x:c>
      <x:c r="C11" s="73" t="str"/>
      <x:c r="D11" s="73" t="str"/>
      <x:c r="E11" s="73" t="str"/>
      <x:c r="F11" s="73" t="str"/>
    </x:row>
    <x:row r="12">
      <x:c r="A12" s="72" t="str">
        <x:v>Critical caveat</x:v>
      </x:c>
      <x:c r="B12" s="73" t="str">
        <x:v>Commercial package completion rate is 80% (4/5) in a LOCAL CONTROLLED EVAL; autonomous containment rate is 20% (1/5), human-review/escalation rate is 80% (4/5), and grounding failure rate is 20% (1/5). None is customer evidence.</x:v>
      </x:c>
      <x:c r="C12" s="73" t="str"/>
      <x:c r="D12" s="73" t="str"/>
      <x:c r="E12" s="73" t="str"/>
      <x:c r="F12" s="73" t="str"/>
    </x:row>
    <x:row r="13">
      <x:c r="A13" s="72" t="str">
        <x:v>Template note</x:v>
      </x:c>
      <x:c r="B13" s="73" t="str">
        <x:v>This workbook preserves required Day25 tab names but does not represent the missing official Day28 layout.</x:v>
      </x:c>
      <x:c r="C13" s="73" t="str"/>
      <x:c r="D13" s="73" t="str"/>
      <x:c r="E13" s="73" t="str"/>
      <x:c r="F13" s="73" t="str"/>
    </x:row>
    <x:row r="14">
      <x:c r="A14" s="69"/>
      <x:c r="B14" s="69"/>
      <x:c r="C14" s="69"/>
      <x:c r="D14" s="69"/>
      <x:c r="E14" s="69"/>
      <x:c r="F14" s="69"/>
    </x:row>
    <x:row r="15" ht="22" customHeight="1">
      <x:c r="A15" s="71" t="str">
        <x:v>Workbook map</x:v>
      </x:c>
      <x:c r="B15" s="71" t="str">
        <x:v>Workbook map</x:v>
      </x:c>
      <x:c r="C15" s="71" t="str">
        <x:v>Workbook map</x:v>
      </x:c>
      <x:c r="D15" s="71" t="str">
        <x:v>Workbook map</x:v>
      </x:c>
      <x:c r="E15" s="71" t="str">
        <x:v>Workbook map</x:v>
      </x:c>
      <x:c r="F15" s="71" t="str">
        <x:v>Workbook map</x:v>
      </x:c>
    </x:row>
    <x:row r="16">
      <x:c r="A16" s="74" t="str">
        <x:v>Tab</x:v>
      </x:c>
      <x:c r="B16" s="74" t="str">
        <x:v>Role</x:v>
      </x:c>
      <x:c r="C16" s="74" t="str">
        <x:v>Key outputs</x:v>
      </x:c>
      <x:c r="D16" s="74" t="str">
        <x:v>Evidence status</x:v>
      </x:c>
      <x:c r="E16" s="74" t="str">
        <x:v>Primary source</x:v>
      </x:c>
      <x:c r="F16" s="74" t="str">
        <x:v>Owner</x:v>
      </x:c>
    </x:row>
    <x:row r="17">
      <x:c r="A17" s="73" t="str">
        <x:v>1_Cost_Job</x:v>
      </x:c>
      <x:c r="B17" s="73" t="str">
        <x:v>Unit cost build</x:v>
      </x:c>
      <x:c r="C17" s="73" t="str">
        <x:v>Cost/attempt; Cost/completed-job; retry; HITL; denominator</x:v>
      </x:c>
      <x:c r="D17" s="73" t="str">
        <x:v>Formula-driven with assumptions</x:v>
      </x:c>
      <x:c r="E17" s="73" t="str">
        <x:v>P-015 artifacts + OpenAI/Supabase pricing</x:v>
      </x:c>
      <x:c r="F17" s="73" t="str">
        <x:v>Nguyen Quang Huy</x:v>
      </x:c>
    </x:row>
    <x:row r="18">
      <x:c r="A18" s="73" t="str">
        <x:v>2_Pricing</x:v>
      </x:c>
      <x:c r="B18" s="73" t="str">
        <x:v>Price and GM</x:v>
      </x:c>
      <x:c r="C18" s="73" t="str">
        <x:v>Floor; proposed price; unit/blended GM; breakeven; sensitivity; anchors</x:v>
      </x:c>
      <x:c r="D18" s="73" t="str">
        <x:v>Formula-driven with controlled-eval proxy</x:v>
      </x:c>
      <x:c r="E18" s="73" t="str">
        <x:v>Day25 decision assumptions + local eval</x:v>
      </x:c>
      <x:c r="F18" s="73" t="str">
        <x:v>Nguyen Quang Huy</x:v>
      </x:c>
    </x:row>
    <x:row r="19">
      <x:c r="A19" s="73" t="str">
        <x:v>3_Value_Metric</x:v>
      </x:c>
      <x:c r="B19" s="73" t="str">
        <x:v>Metric decision</x:v>
      </x:c>
      <x:c r="C19" s="73" t="str">
        <x:v>Attribution; Autonomy; exact 3-sentence note</x:v>
      </x:c>
      <x:c r="D19" s="73" t="str">
        <x:v>Evidence-backed / partial</x:v>
      </x:c>
      <x:c r="E19" s="73" t="str">
        <x:v>P-015 eval artifacts and architecture docs</x:v>
      </x:c>
      <x:c r="F19" s="73" t="str">
        <x:v>Nguyen Quang Huy</x:v>
      </x:c>
    </x:row>
    <x:row r="20">
      <x:c r="A20" s="73" t="str">
        <x:v>4_Channel_Fit</x:v>
      </x:c>
      <x:c r="B20" s="73" t="str">
        <x:v>GTM affordability</x:v>
      </x:c>
      <x:c r="C20" s="73" t="str">
        <x:v>Sales-Led; CAC budget; estimated CAC; gap; pain moment</x:v>
      </x:c>
      <x:c r="D20" s="73" t="str">
        <x:v>Planning assumptions</x:v>
      </x:c>
      <x:c r="E20" s="73" t="str">
        <x:v>Day25 channel logic</x:v>
      </x:c>
      <x:c r="F20" s="73" t="str">
        <x:v>Nguyen Quang Huy</x:v>
      </x:c>
    </x:row>
    <x:row r="21">
      <x:c r="A21" s="73" t="str">
        <x:v>5_90Day_Plan</x:v>
      </x:c>
      <x:c r="B21" s="73" t="str">
        <x:v>Execution plan</x:v>
      </x:c>
      <x:c r="C21" s="73" t="str">
        <x:v>Learn / Leverage / Expand milestones</x:v>
      </x:c>
      <x:c r="D21" s="73" t="str">
        <x:v>Targets, not actuals</x:v>
      </x:c>
      <x:c r="E21" s="73" t="str">
        <x:v>Day25 plan</x:v>
      </x:c>
      <x:c r="F21" s="73" t="str">
        <x:v>Nguyen Quang Huy</x:v>
      </x:c>
    </x:row>
    <x:row r="22">
      <x:c r="A22" s="73" t="str">
        <x:v>6_Benchmarks</x:v>
      </x:c>
      <x:c r="B22" s="73" t="str">
        <x:v>Comparable pricing</x:v>
      </x:c>
      <x:c r="C22" s="73" t="str">
        <x:v>Two current first-party benchmarks</x:v>
      </x:c>
      <x:c r="D22" s="73" t="str">
        <x:v>Checked 2026-08-27</x:v>
      </x:c>
      <x:c r="E22" s="73" t="str">
        <x:v>Stripe Radar; Fingerprint</x:v>
      </x:c>
      <x:c r="F22" s="73" t="str">
        <x:v>Nguyen Quang Huy</x:v>
      </x:c>
    </x:row>
    <x:row r="23">
      <x:c r="A23" s="73" t="str">
        <x:v>QA</x:v>
      </x:c>
      <x:c r="B23" s="73" t="str">
        <x:v>Manual gate</x:v>
      </x:c>
      <x:c r="C23" s="73" t="str">
        <x:v>See evidence and scripts folders</x:v>
      </x:c>
      <x:c r="D23" s="73" t="str">
        <x:v>Not a subjective rubric proof</x:v>
      </x:c>
      <x:c r="E23" s="73" t="str">
        <x:v>Local audit scripts</x:v>
      </x:c>
      <x:c r="F23" s="73" t="str">
        <x:v>Nguyen Quang Huy</x:v>
      </x:c>
    </x:row>
    <x:row r="24">
      <x:c r="A24" s="69"/>
      <x:c r="B24" s="69"/>
      <x:c r="C24" s="69"/>
      <x:c r="D24" s="69"/>
      <x:c r="E24" s="69"/>
      <x:c r="F24" s="69"/>
    </x:row>
    <x:row r="25">
      <x:c r="A25" s="75" t="str">
        <x:v>Legend</x:v>
      </x:c>
      <x:c r="B25" s="75" t="str">
        <x:v>Yellow/blue = input</x:v>
      </x:c>
      <x:c r="C25" s="75" t="str">
        <x:v>Black = formula</x:v>
      </x:c>
      <x:c r="D25" s="75" t="str">
        <x:v>Green = internal link</x:v>
      </x:c>
      <x:c r="E25" s="75" t="str">
        <x:v>Orange = limitation/warning</x:v>
      </x:c>
      <x:c r="F25" s="75" t="str">
        <x:v>Green fill = passed threshold</x:v>
      </x:c>
    </x:row>
  </x:sheetData>
  <x:mergeCells>
    <x:mergeCell ref="A1:F1"/>
    <x:mergeCell ref="A2:F2"/>
    <x:mergeCell ref="A4:F4"/>
    <x:mergeCell ref="A6:F6"/>
    <x:mergeCell ref="B7:F7"/>
    <x:mergeCell ref="B8:F8"/>
    <x:mergeCell ref="B9:F9"/>
    <x:mergeCell ref="B10:F10"/>
    <x:mergeCell ref="B11:F11"/>
    <x:mergeCell ref="B12:F12"/>
    <x:mergeCell ref="B13:F13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18" hidden="0" customWidth="1"/>
    <x:col min="5" max="5" width="62" hidden="0" customWidth="1"/>
  </x:cols>
  <x:sheetData>
    <x:row r="1" ht="28" customHeight="1">
      <x:c r="A1" s="100" t="str">
        <x:v>1 | COST / COMPLETED INVESTIGATION JOB</x:v>
      </x:c>
      <x:c r="B1" s="100" t="str">
        <x:v>1 | COST / COMPLETED INVESTIGATION JOB</x:v>
      </x:c>
      <x:c r="C1" s="100" t="str">
        <x:v>1 | COST / COMPLETED INVESTIGATION JOB</x:v>
      </x:c>
      <x:c r="D1" s="100" t="str">
        <x:v>1 | COST / COMPLETED INVESTIGATION JOB</x:v>
      </x:c>
      <x:c r="E1" s="100" t="str">
        <x:v>1 | COST / COMPLETED INVESTIGATION JOB</x:v>
      </x:c>
    </x:row>
    <x:row r="2" ht="28" customHeight="1">
      <x:c r="A2" s="68" t="str">
        <x:v>Base-case unit economics for one customer-month. Direct COGS includes API, retry, infra allocation, internal QA and allocated direct overhead. Customer escalation labor is disclosed separately under Variant A.</x:v>
      </x:c>
      <x:c r="B2" s="68" t="str">
        <x:v>Base-case unit economics for one customer-month. Direct COGS includes API, retry, infra allocation, internal QA and allocated direct overhead. Customer escalation labor is disclosed separately under Variant A.</x:v>
      </x:c>
      <x:c r="C2" s="68" t="str">
        <x:v>Base-case unit economics for one customer-month. Direct COGS includes API, retry, infra allocation, internal QA and allocated direct overhead. Customer escalation labor is disclosed separately under Variant A.</x:v>
      </x:c>
      <x:c r="D2" s="68" t="str">
        <x:v>Base-case unit economics for one customer-month. Direct COGS includes API, retry, infra allocation, internal QA and allocated direct overhead. Customer escalation labor is disclosed separately under Variant A.</x:v>
      </x:c>
      <x:c r="E2" s="68" t="str">
        <x:v>Base-case unit economics for one customer-month. Direct COGS includes API, retry, infra allocation, internal QA and allocated direct overhead. Customer escalation labor is disclosed separately under Variant A.</x:v>
      </x:c>
    </x:row>
    <x:row r="3">
      <x:c r="A3" s="69"/>
      <x:c r="B3" s="69"/>
      <x:c r="C3" s="69"/>
      <x:c r="D3" s="69"/>
      <x:c r="E3" s="69"/>
    </x:row>
    <x:row r="4" ht="22" customHeight="1">
      <x:c r="A4" s="71" t="str">
        <x:v>Volume and completion inputs</x:v>
      </x:c>
      <x:c r="B4" s="71" t="str">
        <x:v>Volume and completion inputs</x:v>
      </x:c>
      <x:c r="C4" s="71" t="str">
        <x:v>Volume and completion inputs</x:v>
      </x:c>
      <x:c r="D4" s="71" t="str">
        <x:v>Volume and completion inputs</x:v>
      </x:c>
      <x:c r="E4" s="71" t="str">
        <x:v>Volume and completion inputs</x:v>
      </x:c>
    </x:row>
    <x:row r="5">
      <x:c r="A5" s="74" t="str">
        <x:v>Driver</x:v>
      </x:c>
      <x:c r="B5" s="74" t="str">
        <x:v>Unit</x:v>
      </x:c>
      <x:c r="C5" s="74" t="str">
        <x:v>Base</x:v>
      </x:c>
      <x:c r="D5" s="74" t="str">
        <x:v>Status</x:v>
      </x:c>
      <x:c r="E5" s="74" t="str">
        <x:v>Source / rationale</x:v>
      </x:c>
    </x:row>
    <x:row r="6">
      <x:c r="A6" s="73" t="str">
        <x:v>Jobs attempted</x:v>
      </x:c>
      <x:c r="B6" s="73" t="str">
        <x:v>jobs / month</x:v>
      </x:c>
      <x:c r="C6" s="76" t="n">
        <x:v>3000</x:v>
      </x:c>
      <x:c r="D6" s="73" t="str">
        <x:v>ASSUMPTION</x:v>
      </x:c>
      <x:c r="E6" s="73" t="str">
        <x:v>Planning volume for one mid-market fintech customer.</x:v>
      </x:c>
    </x:row>
    <x:row r="7">
      <x:c r="A7" s="73" t="str">
        <x:v>Commercial package completion rate</x:v>
      </x:c>
      <x:c r="B7" s="73" t="str">
        <x:v>% of attempts</x:v>
      </x:c>
      <x:c r="C7" s="77" t="n">
        <x:v>0.8</x:v>
      </x:c>
      <x:c r="D7" s="73" t="str">
        <x:v>LOCAL CONTROLLED EVAL</x:v>
      </x:c>
      <x:c r="E7" s="73" t="str">
        <x:v>4/5 grounded, schema-valid commercial packages in evidence/containment-eval.md; not a customer rate. Separate local metrics: autonomous containment 1/5 (20%), human-review/escalation 4/5 (80%), grounding failure 1/5 (20%).</x:v>
      </x:c>
    </x:row>
    <x:row r="8">
      <x:c r="A8" s="73" t="str">
        <x:v>Completed commercial jobs</x:v>
      </x:c>
      <x:c r="B8" s="73" t="str">
        <x:v>jobs / month</x:v>
      </x:c>
      <x:c r="C8" s="78" t="n">
        <x:f>C6*C7</x:f>
        <x:v>2400</x:v>
      </x:c>
      <x:c r="D8" s="73" t="str">
        <x:v>FORMULA</x:v>
      </x:c>
      <x:c r="E8" s="73" t="str">
        <x:v>Jobs attempted x commercial package-completion rate. Denominator for Cost/Job.</x:v>
      </x:c>
    </x:row>
    <x:row r="9">
      <x:c r="A9" s="73" t="str">
        <x:v>Modelled escalation rate</x:v>
      </x:c>
      <x:c r="B9" s="73" t="str">
        <x:v>% of completed</x:v>
      </x:c>
      <x:c r="C9" s="77" t="n">
        <x:v>0.35</x:v>
      </x:c>
      <x:c r="D9" s="73" t="str">
        <x:v>ESTIMATE</x:v>
      </x:c>
      <x:c r="E9" s="73" t="str">
        <x:v>Planning cost assumption; separate local controlled eval observed human-review/escalation in 4/5 cases (80%), not a production rate.</x:v>
      </x:c>
    </x:row>
    <x:row r="10">
      <x:c r="A10" s="73" t="str">
        <x:v>Escalated jobs</x:v>
      </x:c>
      <x:c r="B10" s="73" t="str">
        <x:v>jobs / month</x:v>
      </x:c>
      <x:c r="C10" s="78" t="n">
        <x:f>C8*C9</x:f>
        <x:v>840</x:v>
      </x:c>
      <x:c r="D10" s="73" t="str">
        <x:v>FORMULA</x:v>
      </x:c>
      <x:c r="E10" s="73" t="str">
        <x:v>Completed jobs x escalation rate.</x:v>
      </x:c>
    </x:row>
    <x:row r="11">
      <x:c r="A11" s="73" t="str">
        <x:v>Internal QA review rate</x:v>
      </x:c>
      <x:c r="B11" s="73" t="str">
        <x:v>% of completed</x:v>
      </x:c>
      <x:c r="C11" s="77" t="n">
        <x:v>0.1</x:v>
      </x:c>
      <x:c r="D11" s="73" t="str">
        <x:v>ESTIMATE</x:v>
      </x:c>
      <x:c r="E11" s="73" t="str">
        <x:v>Our COGS only: 10% QA sample for safety/grounding review.</x:v>
      </x:c>
    </x:row>
    <x:row r="12">
      <x:c r="A12" s="73" t="str">
        <x:v>QA reviewed jobs</x:v>
      </x:c>
      <x:c r="B12" s="73" t="str">
        <x:v>jobs / month</x:v>
      </x:c>
      <x:c r="C12" s="78" t="n">
        <x:f>C8*C11</x:f>
        <x:v>240</x:v>
      </x:c>
      <x:c r="D12" s="73" t="str">
        <x:v>FORMULA</x:v>
      </x:c>
      <x:c r="E12" s="73" t="str">
        <x:v>Completed jobs x QA review rate.</x:v>
      </x:c>
    </x:row>
    <x:row r="13">
      <x:c r="A13" s="73" t="str">
        <x:v>QA minutes / reviewed job</x:v>
      </x:c>
      <x:c r="B13" s="73" t="str">
        <x:v>minutes</x:v>
      </x:c>
      <x:c r="C13" s="76" t="n">
        <x:v>3</x:v>
      </x:c>
      <x:c r="D13" s="73" t="str">
        <x:v>ASSUMPTION</x:v>
      </x:c>
      <x:c r="E13" s="73" t="str">
        <x:v>Short structured quality check, not full investigation.</x:v>
      </x:c>
    </x:row>
    <x:row r="14">
      <x:c r="A14" s="73" t="str">
        <x:v>Escalation minutes / escalated job</x:v>
      </x:c>
      <x:c r="B14" s="73" t="str">
        <x:v>minutes</x:v>
      </x:c>
      <x:c r="C14" s="76" t="n">
        <x:v>20</x:v>
      </x:c>
      <x:c r="D14" s="73" t="str">
        <x:v>ASSUMPTION</x:v>
      </x:c>
      <x:c r="E14" s="73" t="str">
        <x:v>Customer-owned analyst escalation effort disclosed, excluded from our COGS.</x:v>
      </x:c>
    </x:row>
    <x:row r="15">
      <x:c r="A15" s="73" t="str">
        <x:v>Reviewer labor rate</x:v>
      </x:c>
      <x:c r="B15" s="73" t="str">
        <x:v>VND / hour</x:v>
      </x:c>
      <x:c r="C15" s="76" t="n">
        <x:v>250000</x:v>
      </x:c>
      <x:c r="D15" s="73" t="str">
        <x:v>ASSUMPTION</x:v>
      </x:c>
      <x:c r="E15" s="73" t="str">
        <x:v>Fully loaded specialist labor planning rate. Validate in pilot.</x:v>
      </x:c>
    </x:row>
    <x:row r="16">
      <x:c r="A16" s="73" t="str">
        <x:v>Planning FX</x:v>
      </x:c>
      <x:c r="B16" s="73" t="str">
        <x:v>VND / USD</x:v>
      </x:c>
      <x:c r="C16" s="76" t="n">
        <x:v>26000</x:v>
      </x:c>
      <x:c r="D16" s="73" t="str">
        <x:v>ASSUMPTION</x:v>
      </x:c>
      <x:c r="E16" s="73" t="str">
        <x:v>Used only to translate vendor API/infra list prices into VND.</x:v>
      </x:c>
    </x:row>
    <x:row r="17">
      <x:c r="A17" s="73" t="str">
        <x:v>Completion denominator check</x:v>
      </x:c>
      <x:c r="B17" s="73" t="str">
        <x:v>check</x:v>
      </x:c>
      <x:c r="C17" s="79" t="str">
        <x:f>IF(AND(C8&gt;0,C8&lt;=C6),"PASS - denominator = completed jobs","FAIL - denominator invalid")</x:f>
        <x:v>PASS - denominator = completed jobs</x:v>
      </x:c>
      <x:c r="D17" s="73" t="str">
        <x:v>FORMULA</x:v>
      </x:c>
      <x:c r="E17" s="73" t="str">
        <x:v>Must be positive and distinct from attempted jobs.</x:v>
      </x:c>
    </x:row>
    <x:row r="18">
      <x:c r="A18" s="69"/>
      <x:c r="B18" s="69"/>
      <x:c r="C18" s="69"/>
      <x:c r="D18" s="69"/>
      <x:c r="E18" s="69"/>
    </x:row>
    <x:row r="19" ht="22" customHeight="1">
      <x:c r="A19" s="71" t="str">
        <x:v>API token math and cache analysis</x:v>
      </x:c>
      <x:c r="B19" s="71" t="str">
        <x:v>API token math and cache analysis</x:v>
      </x:c>
      <x:c r="C19" s="71" t="str">
        <x:v>API token math and cache analysis</x:v>
      </x:c>
      <x:c r="D19" s="71" t="str">
        <x:v>API token math and cache analysis</x:v>
      </x:c>
      <x:c r="E19" s="71" t="str">
        <x:v>API token math and cache analysis</x:v>
      </x:c>
    </x:row>
    <x:row r="20">
      <x:c r="A20" s="74" t="str">
        <x:v>Driver</x:v>
      </x:c>
      <x:c r="B20" s="74" t="str">
        <x:v>Unit</x:v>
      </x:c>
      <x:c r="C20" s="74" t="str">
        <x:v>Base</x:v>
      </x:c>
      <x:c r="D20" s="74" t="str">
        <x:v>Status</x:v>
      </x:c>
      <x:c r="E20" s="74" t="str">
        <x:v>Source / rationale</x:v>
      </x:c>
    </x:row>
    <x:row r="21">
      <x:c r="A21" s="73" t="str">
        <x:v>Model</x:v>
      </x:c>
      <x:c r="B21" s="73" t="str">
        <x:v>model</x:v>
      </x:c>
      <x:c r="C21" s="80" t="str">
        <x:v>gpt-5.5</x:v>
      </x:c>
      <x:c r="D21" s="73" t="str">
        <x:v>REFERENCE</x:v>
      </x:c>
      <x:c r="E21" s="73" t="str">
        <x:v>OpenAI pricing page checked 2026-08-27. Local P-015 path is deterministic; this is the optional LLM-enabled cost scenario.</x:v>
      </x:c>
    </x:row>
    <x:row r="22">
      <x:c r="A22" s="73" t="str">
        <x:v>Model calls / job</x:v>
      </x:c>
      <x:c r="B22" s="73" t="str">
        <x:v>calls</x:v>
      </x:c>
      <x:c r="C22" s="80" t="n">
        <x:v>1</x:v>
      </x:c>
      <x:c r="D22" s="73" t="str">
        <x:v>ASSUMPTION</x:v>
      </x:c>
      <x:c r="E22" s="73" t="str">
        <x:v>One structured investigation synthesis call per completed attempt.</x:v>
      </x:c>
    </x:row>
    <x:row r="23">
      <x:c r="A23" s="73" t="str">
        <x:v>Fresh input tokens / call</x:v>
      </x:c>
      <x:c r="B23" s="73" t="str">
        <x:v>tokens</x:v>
      </x:c>
      <x:c r="C23" s="76" t="n">
        <x:v>10000</x:v>
      </x:c>
      <x:c r="D23" s="73" t="str">
        <x:v>ASSUMPTION</x:v>
      </x:c>
      <x:c r="E23" s="73" t="str">
        <x:v>Transaction, analyst question and case-specific context.</x:v>
      </x:c>
    </x:row>
    <x:row r="24">
      <x:c r="A24" s="73" t="str">
        <x:v>Cached input tokens / call</x:v>
      </x:c>
      <x:c r="B24" s="73" t="str">
        <x:v>tokens</x:v>
      </x:c>
      <x:c r="C24" s="76" t="n">
        <x:v>14000</x:v>
      </x:c>
      <x:c r="D24" s="73" t="str">
        <x:v>ASSUMPTION</x:v>
      </x:c>
      <x:c r="E24" s="73" t="str">
        <x:v>Stable system/policy context eligible for prompt caching.</x:v>
      </x:c>
    </x:row>
    <x:row r="25">
      <x:c r="A25" s="73" t="str">
        <x:v>Output tokens / call</x:v>
      </x:c>
      <x:c r="B25" s="73" t="str">
        <x:v>tokens</x:v>
      </x:c>
      <x:c r="C25" s="76" t="n">
        <x:v>2000</x:v>
      </x:c>
      <x:c r="D25" s="73" t="str">
        <x:v>ASSUMPTION</x:v>
      </x:c>
      <x:c r="E25" s="73" t="str">
        <x:v>Structured report and next-step recommendation.</x:v>
      </x:c>
    </x:row>
    <x:row r="26">
      <x:c r="A26" s="73" t="str">
        <x:v>Input price</x:v>
      </x:c>
      <x:c r="B26" s="73" t="str">
        <x:v>USD / 1M tokens</x:v>
      </x:c>
      <x:c r="C26" s="81" t="n">
        <x:v>5</x:v>
      </x:c>
      <x:c r="D26" s="73" t="str">
        <x:v>VERIFIED LIST</x:v>
      </x:c>
      <x:c r="E26" s="73" t="str">
        <x:v>OpenAI GPT-5.5 Standard short-context input price, checked 2026-08-27.</x:v>
      </x:c>
    </x:row>
    <x:row r="27">
      <x:c r="A27" s="73" t="str">
        <x:v>Cached input price</x:v>
      </x:c>
      <x:c r="B27" s="73" t="str">
        <x:v>USD / 1M tokens</x:v>
      </x:c>
      <x:c r="C27" s="81" t="n">
        <x:v>0.5</x:v>
      </x:c>
      <x:c r="D27" s="73" t="str">
        <x:v>VERIFIED LIST</x:v>
      </x:c>
      <x:c r="E27" s="73" t="str">
        <x:v>OpenAI GPT-5.5 Standard cached input price, checked 2026-08-27.</x:v>
      </x:c>
    </x:row>
    <x:row r="28">
      <x:c r="A28" s="73" t="str">
        <x:v>Output price</x:v>
      </x:c>
      <x:c r="B28" s="73" t="str">
        <x:v>USD / 1M tokens</x:v>
      </x:c>
      <x:c r="C28" s="81" t="n">
        <x:v>30</x:v>
      </x:c>
      <x:c r="D28" s="73" t="str">
        <x:v>VERIFIED LIST</x:v>
      </x:c>
      <x:c r="E28" s="73" t="str">
        <x:v>OpenAI GPT-5.5 Standard short-context output price, checked 2026-08-27.</x:v>
      </x:c>
    </x:row>
    <x:row r="29">
      <x:c r="A29" s="73" t="str">
        <x:v>API cost / attempt with cache</x:v>
      </x:c>
      <x:c r="B29" s="73" t="str">
        <x:v>VND / attempt</x:v>
      </x:c>
      <x:c r="C29" s="78" t="n">
        <x:f>C22*((C23/1000000*C26)+(C24/1000000*C27)+(C25/1000000*C28))*C16</x:f>
        <x:v>3042</x:v>
      </x:c>
      <x:c r="D29" s="73" t="str">
        <x:v>FORMULA</x:v>
      </x:c>
      <x:c r="E29" s="73" t="str">
        <x:v>Fresh input + cached input + output at published rates, translated at planning FX.</x:v>
      </x:c>
    </x:row>
    <x:row r="30">
      <x:c r="A30" s="73" t="str">
        <x:v>API cost / attempt without cache</x:v>
      </x:c>
      <x:c r="B30" s="73" t="str">
        <x:v>VND / attempt</x:v>
      </x:c>
      <x:c r="C30" s="78" t="n">
        <x:f>C22*(((C23+C24)/1000000*C26)+(C25/1000000*C28))*C16</x:f>
        <x:v>4680</x:v>
      </x:c>
      <x:c r="D30" s="73" t="str">
        <x:v>FORMULA</x:v>
      </x:c>
      <x:c r="E30" s="73" t="str">
        <x:v>All input priced as fresh input; output unchanged.</x:v>
      </x:c>
    </x:row>
    <x:row r="31">
      <x:c r="A31" s="73" t="str">
        <x:v>Cache savings / attempt</x:v>
      </x:c>
      <x:c r="B31" s="73" t="str">
        <x:v>VND / attempt</x:v>
      </x:c>
      <x:c r="C31" s="78" t="n">
        <x:f>C30-C29</x:f>
        <x:v>1638</x:v>
      </x:c>
      <x:c r="D31" s="73" t="str">
        <x:v>FORMULA</x:v>
      </x:c>
      <x:c r="E31" s="73" t="str">
        <x:v>Without-cache cost less with-cache cost.</x:v>
      </x:c>
    </x:row>
    <x:row r="32">
      <x:c r="A32" s="73" t="str">
        <x:v>Cache savings</x:v>
      </x:c>
      <x:c r="B32" s="73" t="str">
        <x:v>%</x:v>
      </x:c>
      <x:c r="C32" s="82" t="n">
        <x:f>C31/C30</x:f>
        <x:v>0.35</x:v>
      </x:c>
      <x:c r="D32" s="73" t="str">
        <x:v>FORMULA</x:v>
      </x:c>
      <x:c r="E32" s="73" t="str">
        <x:v>Absolute savings divided by without-cache cost.</x:v>
      </x:c>
    </x:row>
    <x:row r="33">
      <x:c r="A33" s="73" t="str">
        <x:v>Batch price scenario</x:v>
      </x:c>
      <x:c r="B33" s="73" t="str">
        <x:v>USD / 1M tokens</x:v>
      </x:c>
      <x:c r="C33" s="81" t="n">
        <x:v>2.5</x:v>
      </x:c>
      <x:c r="D33" s="73" t="str">
        <x:v>REFERENCE</x:v>
      </x:c>
      <x:c r="E33" s="73" t="str">
        <x:v>OpenAI GPT-5.5 Batch input price; not used in base because case workflow is near-real-time.</x:v>
      </x:c>
    </x:row>
    <x:row r="34">
      <x:c r="A34" s="73" t="str">
        <x:v>Batch output price scenario</x:v>
      </x:c>
      <x:c r="B34" s="73" t="str">
        <x:v>USD / 1M tokens</x:v>
      </x:c>
      <x:c r="C34" s="81" t="n">
        <x:v>15</x:v>
      </x:c>
      <x:c r="D34" s="73" t="str">
        <x:v>REFERENCE</x:v>
      </x:c>
      <x:c r="E34" s="73" t="str">
        <x:v>OpenAI GPT-5.5 Batch output price; latency trade-off must be tested.</x:v>
      </x:c>
    </x:row>
    <x:row r="35">
      <x:c r="A35" s="73" t="str">
        <x:v>Current local LLM calls</x:v>
      </x:c>
      <x:c r="B35" s="73" t="str">
        <x:v>calls in eval</x:v>
      </x:c>
      <x:c r="C35" s="76" t="n">
        <x:v>0</x:v>
      </x:c>
      <x:c r="D35" s="73" t="str">
        <x:v>VERIFIED LOCAL</x:v>
      </x:c>
      <x:c r="E35" s="73" t="str">
        <x:v>P-015 evaluation report states deterministic path and 0 ms LLM latency; not a production API usage observation.</x:v>
      </x:c>
    </x:row>
    <x:row r="36">
      <x:c r="A36" s="73" t="str">
        <x:v>API cost audit check</x:v>
      </x:c>
      <x:c r="B36" s="73" t="str">
        <x:v>check</x:v>
      </x:c>
      <x:c r="C36" s="79" t="str">
        <x:f>IF(C29&gt;0,"PASS - non-zero API scenario","FAIL - API silently zero")</x:f>
        <x:v>PASS - non-zero API scenario</x:v>
      </x:c>
      <x:c r="D36" s="73" t="str">
        <x:v>FORMULA</x:v>
      </x:c>
      <x:c r="E36" s="73" t="str">
        <x:v>Must be non-zero in the optional LLM-enabled base scenario.</x:v>
      </x:c>
    </x:row>
    <x:row r="37">
      <x:c r="A37" s="69"/>
      <x:c r="B37" s="69"/>
      <x:c r="C37" s="69"/>
      <x:c r="D37" s="69"/>
      <x:c r="E37" s="69"/>
    </x:row>
    <x:row r="38" ht="22" customHeight="1">
      <x:c r="A38" s="71" t="str">
        <x:v>Retry, infrastructure and direct overhead</x:v>
      </x:c>
      <x:c r="B38" s="71" t="str">
        <x:v>Retry, infrastructure and direct overhead</x:v>
      </x:c>
      <x:c r="C38" s="71" t="str">
        <x:v>Retry, infrastructure and direct overhead</x:v>
      </x:c>
      <x:c r="D38" s="71" t="str">
        <x:v>Retry, infrastructure and direct overhead</x:v>
      </x:c>
      <x:c r="E38" s="71" t="str">
        <x:v>Retry, infrastructure and direct overhead</x:v>
      </x:c>
    </x:row>
    <x:row r="39">
      <x:c r="A39" s="74" t="str">
        <x:v>Driver</x:v>
      </x:c>
      <x:c r="B39" s="74" t="str">
        <x:v>Unit</x:v>
      </x:c>
      <x:c r="C39" s="74" t="str">
        <x:v>Base</x:v>
      </x:c>
      <x:c r="D39" s="74" t="str">
        <x:v>Status</x:v>
      </x:c>
      <x:c r="E39" s="74" t="str">
        <x:v>Source / rationale</x:v>
      </x:c>
    </x:row>
    <x:row r="40">
      <x:c r="A40" s="73" t="str">
        <x:v>Retry rate</x:v>
      </x:c>
      <x:c r="B40" s="73" t="str">
        <x:v>% of attempts</x:v>
      </x:c>
      <x:c r="C40" s="77" t="n">
        <x:v>0.08</x:v>
      </x:c>
      <x:c r="D40" s="73" t="str">
        <x:v>ESTIMATE</x:v>
      </x:c>
      <x:c r="E40" s="73" t="str">
        <x:v>Conservative fallback within prompt guidance; no measured production retry log found.</x:v>
      </x:c>
    </x:row>
    <x:row r="41">
      <x:c r="A41" s="73" t="str">
        <x:v>Retry cost / month</x:v>
      </x:c>
      <x:c r="B41" s="73" t="str">
        <x:v>VND / month</x:v>
      </x:c>
      <x:c r="C41" s="78" t="n">
        <x:f>C6*C40*C29</x:f>
        <x:v>730080</x:v>
      </x:c>
      <x:c r="D41" s="73" t="str">
        <x:v>FORMULA</x:v>
      </x:c>
      <x:c r="E41" s="73" t="str">
        <x:v>Attempted jobs x retry rate x cached API cost.</x:v>
      </x:c>
    </x:row>
    <x:row r="42">
      <x:c r="A42" s="73" t="str">
        <x:v>Retry cost / completed job</x:v>
      </x:c>
      <x:c r="B42" s="73" t="str">
        <x:v>VND / completed job</x:v>
      </x:c>
      <x:c r="C42" s="78" t="n">
        <x:f>C41/C8</x:f>
        <x:v>304.2</x:v>
      </x:c>
      <x:c r="D42" s="73" t="str">
        <x:v>FORMULA</x:v>
      </x:c>
      <x:c r="E42" s="73" t="str">
        <x:v>Retry monthly cost divided by completed jobs.</x:v>
      </x:c>
    </x:row>
    <x:row r="43">
      <x:c r="A43" s="73" t="str">
        <x:v>Fixed infra allocation</x:v>
      </x:c>
      <x:c r="B43" s="73" t="str">
        <x:v>VND / month</x:v>
      </x:c>
      <x:c r="C43" s="76" t="n">
        <x:v>4000000</x:v>
      </x:c>
      <x:c r="D43" s="73" t="str">
        <x:v>ASSUMPTION</x:v>
      </x:c>
      <x:c r="E43" s="73" t="str">
        <x:v>Supabase Pro $25/month plus app/compute/logging allocation; verify with deployed telemetry.</x:v>
      </x:c>
    </x:row>
    <x:row r="44">
      <x:c r="A44" s="73" t="str">
        <x:v>Infra / completed job</x:v>
      </x:c>
      <x:c r="B44" s="73" t="str">
        <x:v>VND / completed job</x:v>
      </x:c>
      <x:c r="C44" s="78" t="n">
        <x:f>C43/C8</x:f>
        <x:v>1666.6666666666667</x:v>
      </x:c>
      <x:c r="D44" s="73" t="str">
        <x:v>FORMULA</x:v>
      </x:c>
      <x:c r="E44" s="73" t="str">
        <x:v>Fixed infra allocation divided by completed jobs.</x:v>
      </x:c>
    </x:row>
    <x:row r="45">
      <x:c r="A45" s="73" t="str">
        <x:v>Allocated direct overhead</x:v>
      </x:c>
      <x:c r="B45" s="73" t="str">
        <x:v>VND / month</x:v>
      </x:c>
      <x:c r="C45" s="76" t="n">
        <x:v>1500000</x:v>
      </x:c>
      <x:c r="D45" s="73" t="str">
        <x:v>ASSUMPTION</x:v>
      </x:c>
      <x:c r="E45" s="73" t="str">
        <x:v>Shared observability, data operations and evaluation support allocated to one customer.</x:v>
      </x:c>
    </x:row>
    <x:row r="46">
      <x:c r="A46" s="73" t="str">
        <x:v>Direct overhead / completed job</x:v>
      </x:c>
      <x:c r="B46" s="73" t="str">
        <x:v>VND / completed job</x:v>
      </x:c>
      <x:c r="C46" s="78" t="n">
        <x:f>C45/C8</x:f>
        <x:v>625</x:v>
      </x:c>
      <x:c r="D46" s="73" t="str">
        <x:v>FORMULA</x:v>
      </x:c>
      <x:c r="E46" s="73" t="str">
        <x:v>Allocated direct overhead divided by completed jobs.</x:v>
      </x:c>
    </x:row>
    <x:row r="47">
      <x:c r="A47" s="69"/>
      <x:c r="B47" s="69"/>
      <x:c r="C47" s="69"/>
      <x:c r="D47" s="69"/>
      <x:c r="E47" s="69"/>
    </x:row>
    <x:row r="48" ht="22" customHeight="1">
      <x:c r="A48" s="71" t="str">
        <x:v>HITL variant and direct-cost build</x:v>
      </x:c>
      <x:c r="B48" s="71" t="str">
        <x:v>HITL variant and direct-cost build</x:v>
      </x:c>
      <x:c r="C48" s="71" t="str">
        <x:v>HITL variant and direct-cost build</x:v>
      </x:c>
      <x:c r="D48" s="71" t="str">
        <x:v>HITL variant and direct-cost build</x:v>
      </x:c>
      <x:c r="E48" s="71" t="str">
        <x:v>HITL variant and direct-cost build</x:v>
      </x:c>
    </x:row>
    <x:row r="49">
      <x:c r="A49" s="74" t="str">
        <x:v>Driver</x:v>
      </x:c>
      <x:c r="B49" s="74" t="str">
        <x:v>Unit</x:v>
      </x:c>
      <x:c r="C49" s="74" t="str">
        <x:v>Base</x:v>
      </x:c>
      <x:c r="D49" s="74" t="str">
        <x:v>Status</x:v>
      </x:c>
      <x:c r="E49" s="74" t="str">
        <x:v>Source / rationale</x:v>
      </x:c>
    </x:row>
    <x:row r="50">
      <x:c r="A50" s="73" t="str">
        <x:v>HITL variant</x:v>
      </x:c>
      <x:c r="B50" s="73" t="str">
        <x:v>policy</x:v>
      </x:c>
      <x:c r="C50" s="80" t="str">
        <x:v>Variant A - software product; customer handles escalations</x:v>
      </x:c>
      <x:c r="D50" s="73" t="str">
        <x:v>DECISION</x:v>
      </x:c>
      <x:c r="E50" s="73" t="str">
        <x:v>Product is a copilot; human owns final resolution. Internal QA remains in our COGS.</x:v>
      </x:c>
    </x:row>
    <x:row r="51">
      <x:c r="A51" s="73" t="str">
        <x:v>QA cost / month</x:v>
      </x:c>
      <x:c r="B51" s="73" t="str">
        <x:v>VND / month</x:v>
      </x:c>
      <x:c r="C51" s="78" t="n">
        <x:f>C12*C13/60*C15</x:f>
        <x:v>3000000</x:v>
      </x:c>
      <x:c r="D51" s="73" t="str">
        <x:v>FORMULA</x:v>
      </x:c>
      <x:c r="E51" s="73" t="str">
        <x:v>QA reviewed jobs x QA minutes x reviewer rate.</x:v>
      </x:c>
    </x:row>
    <x:row r="52">
      <x:c r="A52" s="73" t="str">
        <x:v>Vendor-borne escalation labor</x:v>
      </x:c>
      <x:c r="B52" s="73" t="str">
        <x:v>VND / month</x:v>
      </x:c>
      <x:c r="C52" s="78" t="n">
        <x:f>C10*C14/60*C15</x:f>
        <x:v>70000000</x:v>
      </x:c>
      <x:c r="D52" s="73" t="str">
        <x:v>DISCLOSED</x:v>
      </x:c>
      <x:c r="E52" s="73" t="str">
        <x:v>Escalated jobs x escalation minutes x reviewer rate; excluded under Variant A.</x:v>
      </x:c>
    </x:row>
    <x:row r="53">
      <x:c r="A53" s="73" t="str">
        <x:v>Customer-borne escalation labor</x:v>
      </x:c>
      <x:c r="B53" s="73" t="str">
        <x:v>VND / month</x:v>
      </x:c>
      <x:c r="C53" s="78" t="n">
        <x:f>C52</x:f>
        <x:v>70000000</x:v>
      </x:c>
      <x:c r="D53" s="73" t="str">
        <x:v>DISCLOSED</x:v>
      </x:c>
      <x:c r="E53" s="73" t="str">
        <x:v>Same amount, disclosed as customer workload rather than vendor COGS.</x:v>
      </x:c>
    </x:row>
    <x:row r="54">
      <x:c r="A54" s="73" t="str">
        <x:v>Direct API monthly cost</x:v>
      </x:c>
      <x:c r="B54" s="73" t="str">
        <x:v>VND / month</x:v>
      </x:c>
      <x:c r="C54" s="78" t="n">
        <x:f>C6*C29</x:f>
        <x:v>9126000</x:v>
      </x:c>
      <x:c r="D54" s="73" t="str">
        <x:v>FORMULA</x:v>
      </x:c>
      <x:c r="E54" s="73" t="str">
        <x:v>Attempted jobs x cached API cost.</x:v>
      </x:c>
    </x:row>
    <x:row r="55">
      <x:c r="A55" s="73" t="str">
        <x:v>Direct infra monthly cost</x:v>
      </x:c>
      <x:c r="B55" s="73" t="str">
        <x:v>VND / month</x:v>
      </x:c>
      <x:c r="C55" s="78" t="n">
        <x:f>C43</x:f>
        <x:v>4000000</x:v>
      </x:c>
      <x:c r="D55" s="73" t="str">
        <x:v>FORMULA</x:v>
      </x:c>
      <x:c r="E55" s="73" t="str">
        <x:v>Fixed infra allocation.</x:v>
      </x:c>
    </x:row>
    <x:row r="56">
      <x:c r="A56" s="73" t="str">
        <x:v>Direct retry monthly cost</x:v>
      </x:c>
      <x:c r="B56" s="73" t="str">
        <x:v>VND / month</x:v>
      </x:c>
      <x:c r="C56" s="78" t="n">
        <x:f>C41</x:f>
        <x:v>730080</x:v>
      </x:c>
      <x:c r="D56" s="73" t="str">
        <x:v>FORMULA</x:v>
      </x:c>
      <x:c r="E56" s="73" t="str">
        <x:v>Retry cost/month.</x:v>
      </x:c>
    </x:row>
    <x:row r="57">
      <x:c r="A57" s="73" t="str">
        <x:v>Direct HITL monthly cost</x:v>
      </x:c>
      <x:c r="B57" s="73" t="str">
        <x:v>VND / month</x:v>
      </x:c>
      <x:c r="C57" s="78" t="n">
        <x:f>C51</x:f>
        <x:v>3000000</x:v>
      </x:c>
      <x:c r="D57" s="73" t="str">
        <x:v>FORMULA</x:v>
      </x:c>
      <x:c r="E57" s="73" t="str">
        <x:v>Internal QA only under Variant A.</x:v>
      </x:c>
    </x:row>
    <x:row r="58">
      <x:c r="A58" s="73" t="str">
        <x:v>Direct overhead monthly</x:v>
      </x:c>
      <x:c r="B58" s="73" t="str">
        <x:v>VND / month</x:v>
      </x:c>
      <x:c r="C58" s="78" t="n">
        <x:f>C45</x:f>
        <x:v>1500000</x:v>
      </x:c>
      <x:c r="D58" s="73" t="str">
        <x:v>FORMULA</x:v>
      </x:c>
      <x:c r="E58" s="73" t="str">
        <x:v>Allocated direct overhead.</x:v>
      </x:c>
    </x:row>
    <x:row r="59">
      <x:c r="A59" s="73" t="str">
        <x:v>Total direct monthly cost</x:v>
      </x:c>
      <x:c r="B59" s="73" t="str">
        <x:v>VND / month</x:v>
      </x:c>
      <x:c r="C59" s="78" t="n">
        <x:f>SUM(C54:C58)</x:f>
        <x:v>18356080</x:v>
      </x:c>
      <x:c r="D59" s="73" t="str">
        <x:v>FORMULA</x:v>
      </x:c>
      <x:c r="E59" s="73" t="str">
        <x:v>Sum of direct service cost categories.</x:v>
      </x:c>
    </x:row>
    <x:row r="60">
      <x:c r="A60" s="73" t="str">
        <x:v>Cost / attempted job</x:v>
      </x:c>
      <x:c r="B60" s="73" t="str">
        <x:v>VND / attempt</x:v>
      </x:c>
      <x:c r="C60" s="78" t="n">
        <x:f>C59/C6</x:f>
        <x:v>6118.693333333334</x:v>
      </x:c>
      <x:c r="D60" s="73" t="str">
        <x:v>FORMULA</x:v>
      </x:c>
      <x:c r="E60" s="73" t="str">
        <x:v>Total direct monthly cost divided by attempted jobs.</x:v>
      </x:c>
    </x:row>
    <x:row r="61">
      <x:c r="A61" s="73" t="str">
        <x:v>Cost / completed job</x:v>
      </x:c>
      <x:c r="B61" s="73" t="str">
        <x:v>VND / completed job</x:v>
      </x:c>
      <x:c r="C61" s="78" t="n">
        <x:f>C59/C8</x:f>
        <x:v>7648.366666666667</x:v>
      </x:c>
      <x:c r="D61" s="73" t="str">
        <x:v>FORMULA</x:v>
      </x:c>
      <x:c r="E61" s="73" t="str">
        <x:v>Total direct monthly cost divided by completed jobs.</x:v>
      </x:c>
    </x:row>
    <x:row r="62">
      <x:c r="A62" s="69"/>
      <x:c r="B62" s="69"/>
      <x:c r="C62" s="69"/>
      <x:c r="D62" s="69"/>
      <x:c r="E62" s="69"/>
    </x:row>
    <x:row r="63">
      <x:c r="A63" s="74" t="str">
        <x:v>Cost/Job audit</x:v>
      </x:c>
      <x:c r="B63" s="74" t="str">
        <x:v>Value</x:v>
      </x:c>
      <x:c r="C63" s="74" t="str">
        <x:v>Formula / interpretation</x:v>
      </x:c>
      <x:c r="D63" s="74" t="str">
        <x:v>Status</x:v>
      </x:c>
      <x:c r="E63" s="74" t="str">
        <x:v>Why it matters</x:v>
      </x:c>
    </x:row>
    <x:row r="64">
      <x:c r="A64" s="73" t="str">
        <x:v>Incorrect attempted denominator</x:v>
      </x:c>
      <x:c r="B64" s="78" t="n">
        <x:f>C60</x:f>
        <x:v>6118.693333333334</x:v>
      </x:c>
      <x:c r="C64" s="73" t="str">
        <x:v>Cost / attempted job</x:v>
      </x:c>
      <x:c r="D64" s="73" t="str">
        <x:v>FORMULA</x:v>
      </x:c>
      <x:c r="E64" s="73" t="str">
        <x:v>This is the understated answer a model would show if it divided by attempts.</x:v>
      </x:c>
    </x:row>
    <x:row r="65">
      <x:c r="A65" s="73" t="str">
        <x:v>Understatement from wrong denominator</x:v>
      </x:c>
      <x:c r="B65" s="78" t="n">
        <x:f>C61-C60</x:f>
        <x:v>1529.6733333333332</x:v>
      </x:c>
      <x:c r="C65" s="73" t="str">
        <x:v>Completed-job cost less attempted-job cost</x:v>
      </x:c>
      <x:c r="D65" s="73" t="str">
        <x:v>FORMULA</x:v>
      </x:c>
      <x:c r="E65" s="73" t="str">
        <x:v>Explicit economic error from the wrong denominator.</x:v>
      </x:c>
    </x:row>
    <x:row r="66">
      <x:c r="A66" s="73" t="str">
        <x:v>Understatement %</x:v>
      </x:c>
      <x:c r="B66" s="82" t="n">
        <x:f>B65/C61</x:f>
        <x:v>0.19999999999999998</x:v>
      </x:c>
      <x:c r="C66" s="73" t="str">
        <x:v>Understatement divided by true Cost/Job</x:v>
      </x:c>
      <x:c r="D66" s="73" t="str">
        <x:v>FORMULA</x:v>
      </x:c>
      <x:c r="E66" s="73" t="str">
        <x:v>Should be material and visible.</x:v>
      </x:c>
    </x:row>
  </x:sheetData>
  <x:mergeCells>
    <x:mergeCell ref="A1:E1"/>
    <x:mergeCell ref="A2:E2"/>
    <x:mergeCell ref="A4:E4"/>
    <x:mergeCell ref="A19:E19"/>
    <x:mergeCell ref="A38:E38"/>
    <x:mergeCell ref="A48:E48"/>
  </x:mergeCells>
  <x:conditionalFormatting sqref="C7:C7">
    <x:cfRule type="cellIs" dxfId="1" priority="1" operator="greaterThanOrEqual">
      <x:formula>0.6</x:formula>
    </x:cfRule>
  </x:conditionalFormatting>
  <x:pageMargins left="0.7" right="0.7" top="0.75" bottom="0.75" header="0.3" footer="0.3"/>
  <x:legacyDrawing xmlns:r="http://schemas.openxmlformats.org/officeDocument/2006/relationships" r:id="R289cd61af6424c0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3" hidden="0" customWidth="1"/>
    <x:col min="3" max="3" width="24" hidden="0" customWidth="1"/>
    <x:col min="4" max="4" width="20" hidden="0" customWidth="1"/>
    <x:col min="5" max="5" width="64" hidden="0" customWidth="1"/>
    <x:col min="6" max="6" width="36" hidden="0" customWidth="1"/>
  </x:cols>
  <x:sheetData>
    <x:row r="1" ht="28" customHeight="1">
      <x:c r="A1" s="100" t="str">
        <x:v>2 | PRICING, GROSS MARGIN &amp; BREAKEVEN</x:v>
      </x:c>
      <x:c r="B1" s="100" t="str">
        <x:v>2 | PRICING, GROSS MARGIN &amp; BREAKEVEN</x:v>
      </x:c>
      <x:c r="C1" s="100" t="str">
        <x:v>2 | PRICING, GROSS MARGIN &amp; BREAKEVEN</x:v>
      </x:c>
      <x:c r="D1" s="100" t="str">
        <x:v>2 | PRICING, GROSS MARGIN &amp; BREAKEVEN</x:v>
      </x:c>
      <x:c r="E1" s="100" t="str">
        <x:v>2 | PRICING, GROSS MARGIN &amp; BREAKEVEN</x:v>
      </x:c>
      <x:c r="F1" s="69"/>
    </x:row>
    <x:row r="2" ht="28" customHeight="1">
      <x:c r="A2" s="68" t="str">
        <x:v>Usage price is per completed job. Platform fee is a separate hybrid component that purchases workflow, integration and auditability. All price inputs are planning decisions, not observed market transactions.</x:v>
      </x:c>
      <x:c r="B2" s="68" t="str">
        <x:v>Usage price is per completed job. Platform fee is a separate hybrid component that purchases workflow, integration and auditability. All price inputs are planning decisions, not observed market transactions.</x:v>
      </x:c>
      <x:c r="C2" s="68" t="str">
        <x:v>Usage price is per completed job. Platform fee is a separate hybrid component that purchases workflow, integration and auditability. All price inputs are planning decisions, not observed market transactions.</x:v>
      </x:c>
      <x:c r="D2" s="68" t="str">
        <x:v>Usage price is per completed job. Platform fee is a separate hybrid component that purchases workflow, integration and auditability. All price inputs are planning decisions, not observed market transactions.</x:v>
      </x:c>
      <x:c r="E2" s="68" t="str">
        <x:v>Usage price is per completed job. Platform fee is a separate hybrid component that purchases workflow, integration and auditability. All price inputs are planning decisions, not observed market transactions.</x:v>
      </x:c>
      <x:c r="F2" s="69"/>
    </x:row>
    <x:row r="3">
      <x:c r="A3" s="69"/>
      <x:c r="B3" s="69"/>
      <x:c r="C3" s="69"/>
      <x:c r="D3" s="69"/>
      <x:c r="E3" s="69"/>
      <x:c r="F3" s="69"/>
    </x:row>
    <x:row r="4" ht="22" customHeight="1">
      <x:c r="A4" s="71" t="str">
        <x:v>Proposed price and unit economics</x:v>
      </x:c>
      <x:c r="B4" s="71" t="str">
        <x:v>Proposed price and unit economics</x:v>
      </x:c>
      <x:c r="C4" s="71" t="str">
        <x:v>Proposed price and unit economics</x:v>
      </x:c>
      <x:c r="D4" s="71" t="str">
        <x:v>Proposed price and unit economics</x:v>
      </x:c>
      <x:c r="E4" s="71" t="str">
        <x:v>Proposed price and unit economics</x:v>
      </x:c>
      <x:c r="F4" s="69"/>
    </x:row>
    <x:row r="5">
      <x:c r="A5" s="74" t="str">
        <x:v>Driver</x:v>
      </x:c>
      <x:c r="B5" s="74" t="str">
        <x:v>Unit</x:v>
      </x:c>
      <x:c r="C5" s="74" t="str">
        <x:v>Base</x:v>
      </x:c>
      <x:c r="D5" s="74" t="str">
        <x:v>Status</x:v>
      </x:c>
      <x:c r="E5" s="74" t="str">
        <x:v>Source / rationale</x:v>
      </x:c>
      <x:c r="F5" s="69"/>
    </x:row>
    <x:row r="6">
      <x:c r="A6" s="73" t="str">
        <x:v>Platform fee / customer / month</x:v>
      </x:c>
      <x:c r="B6" s="73" t="str">
        <x:v>VND / month</x:v>
      </x:c>
      <x:c r="C6" s="76" t="n">
        <x:v>30000000</x:v>
      </x:c>
      <x:c r="D6" s="73" t="str">
        <x:v>ASSUMPTION</x:v>
      </x:c>
      <x:c r="E6" s="73" t="str">
        <x:v>Hybrid base fee for workflow access, integration surface and auditability.</x:v>
      </x:c>
      <x:c r="F6" s="69"/>
    </x:row>
    <x:row r="7">
      <x:c r="A7" s="73" t="str">
        <x:v>Usage price / completed job</x:v>
      </x:c>
      <x:c r="B7" s="73" t="str">
        <x:v>VND / completed job</x:v>
      </x:c>
      <x:c r="C7" s="76" t="n">
        <x:v>32000</x:v>
      </x:c>
      <x:c r="D7" s="73" t="str">
        <x:v>DECISION</x:v>
      </x:c>
      <x:c r="E7" s="73" t="str">
        <x:v>Set above floor and near labor-replacement anchor; validate with buyer interviews.</x:v>
      </x:c>
      <x:c r="F7" s="69"/>
    </x:row>
    <x:row r="8">
      <x:c r="A8" s="73" t="str">
        <x:v>Monthly ARPU</x:v>
      </x:c>
      <x:c r="B8" s="73" t="str">
        <x:v>VND / month</x:v>
      </x:c>
      <x:c r="C8" s="78" t="n">
        <x:f>C6+'1_Cost_Job'!C8*C7</x:f>
        <x:v>106800000</x:v>
      </x:c>
      <x:c r="D8" s="73" t="str">
        <x:v>FORMULA</x:v>
      </x:c>
      <x:c r="E8" s="73" t="str">
        <x:v>Platform fee + usage price x completed jobs.</x:v>
      </x:c>
      <x:c r="F8" s="69"/>
    </x:row>
    <x:row r="9">
      <x:c r="A9" s="73" t="str">
        <x:v>Price floor</x:v>
      </x:c>
      <x:c r="B9" s="73" t="str">
        <x:v>VND / completed job</x:v>
      </x:c>
      <x:c r="C9" s="78" t="n">
        <x:f>'1_Cost_Job'!C61*3</x:f>
        <x:v>22945.1</x:v>
      </x:c>
      <x:c r="D9" s="73" t="str">
        <x:v>FORMULA</x:v>
      </x:c>
      <x:c r="E9" s="73" t="str">
        <x:v>3 x Cost / completed job.</x:v>
      </x:c>
      <x:c r="F9" s="69"/>
    </x:row>
    <x:row r="10">
      <x:c r="A10" s="73" t="str">
        <x:v>Floor check</x:v>
      </x:c>
      <x:c r="B10" s="73" t="str">
        <x:v>check</x:v>
      </x:c>
      <x:c r="C10" s="79" t="b">
        <x:f>C7&gt;=C9</x:f>
        <x:v>1</x:v>
      </x:c>
      <x:c r="D10" s="73" t="str">
        <x:v>FORMULA</x:v>
      </x:c>
      <x:c r="E10" s="73" t="str">
        <x:v>Usage price must be &gt;= price floor.</x:v>
      </x:c>
      <x:c r="F10" s="69"/>
    </x:row>
    <x:row r="11">
      <x:c r="A11" s="73" t="str">
        <x:v>Usage gross margin</x:v>
      </x:c>
      <x:c r="B11" s="73" t="str">
        <x:v>%</x:v>
      </x:c>
      <x:c r="C11" s="82" t="n">
        <x:f>(C7-'1_Cost_Job'!C61)/C7</x:f>
        <x:v>0.7609885416666666</x:v>
      </x:c>
      <x:c r="D11" s="73" t="str">
        <x:v>FORMULA</x:v>
      </x:c>
      <x:c r="E11" s="73" t="str">
        <x:v>Usage price less variable Cost/Job divided by usage price.</x:v>
      </x:c>
      <x:c r="F11" s="69"/>
    </x:row>
    <x:row r="12">
      <x:c r="A12" s="73" t="str">
        <x:v>Blended gross margin</x:v>
      </x:c>
      <x:c r="B12" s="73" t="str">
        <x:v>%</x:v>
      </x:c>
      <x:c r="C12" s="82" t="n">
        <x:f>(C8-'1_Cost_Job'!C59)/C8</x:f>
        <x:v>0.8281265917602997</x:v>
      </x:c>
      <x:c r="D12" s="73" t="str">
        <x:v>FORMULA</x:v>
      </x:c>
      <x:c r="E12" s="73" t="str">
        <x:v>Monthly ARPU less monthly direct cost divided by monthly ARPU.</x:v>
      </x:c>
      <x:c r="F12" s="69"/>
    </x:row>
    <x:row r="13">
      <x:c r="A13" s="73" t="str">
        <x:v>GM health</x:v>
      </x:c>
      <x:c r="B13" s="73" t="str">
        <x:v>check</x:v>
      </x:c>
      <x:c r="C13" s="79" t="str">
        <x:f>IF(C12&gt;=C15,"PASS - GM &gt;= target",IF(C12&gt;=0.5,"WARNING - GM 50%-60%","UNHEALTHY - GM &lt; 50%"))</x:f>
        <x:v>PASS - GM &gt;= target</x:v>
      </x:c>
      <x:c r="D13" s="73" t="str">
        <x:v>FORMULA</x:v>
      </x:c>
      <x:c r="E13" s="73" t="str">
        <x:v>Target &gt;= 60%; &gt;85% would trigger missing-cost audit.</x:v>
      </x:c>
      <x:c r="F13" s="69"/>
    </x:row>
    <x:row r="14">
      <x:c r="A14" s="73" t="str">
        <x:v>Current commercial package completion rate</x:v>
      </x:c>
      <x:c r="B14" s="73" t="str">
        <x:v>%</x:v>
      </x:c>
      <x:c r="C14" s="82" t="n">
        <x:f>'1_Cost_Job'!C7</x:f>
        <x:v>0.8</x:v>
      </x:c>
      <x:c r="D14" s="73" t="str">
        <x:v>LOCAL CONTROLLED EVAL</x:v>
      </x:c>
      <x:c r="E14" s="73" t="str">
        <x:v>Linked from Cost/Job: 4/5 grounded-package completion (80%); autonomous containment is 1/5 (20%) and is not compared with the package-completion threshold.</x:v>
      </x:c>
      <x:c r="F14" s="69"/>
    </x:row>
    <x:row r="15">
      <x:c r="A15" s="73" t="str">
        <x:v>GM target</x:v>
      </x:c>
      <x:c r="B15" s="73" t="str">
        <x:v>%</x:v>
      </x:c>
      <x:c r="C15" s="77" t="n">
        <x:v>0.6</x:v>
      </x:c>
      <x:c r="D15" s="73" t="str">
        <x:v>DECISION RULE</x:v>
      </x:c>
      <x:c r="E15" s="73" t="str">
        <x:v>Prompt health threshold.</x:v>
      </x:c>
      <x:c r="F15" s="69"/>
    </x:row>
    <x:row r="16">
      <x:c r="A16" s="73" t="str">
        <x:v>Breakeven package-completion rate for GM target</x:v>
      </x:c>
      <x:c r="B16" s="73" t="str">
        <x:v>%</x:v>
      </x:c>
      <x:c r="C16" s="82" t="n">
        <x:f>(('1_Cost_Job'!C6*'1_Cost_Job'!C29*(1+'1_Cost_Job'!C40)+'1_Cost_Job'!C43+'1_Cost_Job'!C45)/('1_Cost_Job'!C6*((1-C15)*C7-('1_Cost_Job'!C51/'1_Cost_Job'!C8))))</x:f>
        <x:v>0.443176911976912</x:v>
      </x:c>
      <x:c r="D16" s="73" t="str">
        <x:v>FORMULA</x:v>
      </x:c>
      <x:c r="E16" s="73" t="str">
        <x:v>Algebraic minimum commercial package-completion rate at proposed usage price; not an autonomous-containment threshold.</x:v>
      </x:c>
      <x:c r="F16" s="69"/>
    </x:row>
    <x:row r="17">
      <x:c r="A17" s="73" t="str">
        <x:v>Package-completion buffer</x:v>
      </x:c>
      <x:c r="B17" s="73" t="str">
        <x:v>percentage points</x:v>
      </x:c>
      <x:c r="C17" s="82" t="n">
        <x:f>C14-C16</x:f>
        <x:v>0.35682308802308804</x:v>
      </x:c>
      <x:c r="D17" s="73" t="str">
        <x:v>FORMULA</x:v>
      </x:c>
      <x:c r="E17" s="73" t="str">
        <x:v>Commercial package-completion rate less breakeven package-completion rate.</x:v>
      </x:c>
      <x:c r="F17" s="69"/>
    </x:row>
    <x:row r="18">
      <x:c r="A18" s="73" t="str">
        <x:v>Package-completion error scenario</x:v>
      </x:c>
      <x:c r="B18" s="73" t="str">
        <x:v>%</x:v>
      </x:c>
      <x:c r="C18" s="82" t="n">
        <x:f>C14/2</x:f>
        <x:v>0.4</x:v>
      </x:c>
      <x:c r="D18" s="73" t="str">
        <x:v>FORMULA</x:v>
      </x:c>
      <x:c r="E18" s="73" t="str">
        <x:v>Half of current commercial package-completion rate: 2x relative error in the adverse direction.</x:v>
      </x:c>
      <x:c r="F18" s="69"/>
    </x:row>
    <x:row r="19">
      <x:c r="A19" s="73" t="str">
        <x:v>GM at package-completion error scenario</x:v>
      </x:c>
      <x:c r="B19" s="73" t="str">
        <x:v>%</x:v>
      </x:c>
      <x:c r="C19" s="82" t="n">
        <x:f>1-(('1_Cost_Job'!C6*'1_Cost_Job'!C29*(1+'1_Cost_Job'!C40)+'1_Cost_Job'!C43+'1_Cost_Job'!C45+'1_Cost_Job'!C6*C18*('1_Cost_Job'!C51/'1_Cost_Job'!C8))/(C18*'1_Cost_Job'!C6*C7))</x:f>
        <x:v>0.5610395833333333</x:v>
      </x:c>
      <x:c r="D19" s="73" t="str">
        <x:v>FORMULA</x:v>
      </x:c>
      <x:c r="E19" s="73" t="str">
        <x:v>Shows whether a 2x package-completion error breaks the model.</x:v>
      </x:c>
      <x:c r="F19" s="69"/>
    </x:row>
    <x:row r="20">
      <x:c r="A20" s="73" t="str">
        <x:v>Critical driver</x:v>
      </x:c>
      <x:c r="B20" s="73" t="str">
        <x:v>text</x:v>
      </x:c>
      <x:c r="C20" s="73" t="str">
        <x:v>Package-completion scenario; 80% -&gt; 40% drops usage GM below 60%.</x:v>
      </x:c>
      <x:c r="D20" s="73" t="str">
        <x:v>RED TEAM</x:v>
      </x:c>
      <x:c r="E20" s="73" t="str">
        <x:v>At 2x adverse package-completion error, completed commercial jobs halve and fixed cost is spread over fewer jobs.</x:v>
      </x:c>
      <x:c r="F20" s="69"/>
    </x:row>
    <x:row r="21">
      <x:c r="A21" s="73" t="str">
        <x:v>Economic decision</x:v>
      </x:c>
      <x:c r="B21" s="73" t="str">
        <x:v>check</x:v>
      </x:c>
      <x:c r="C21" s="79" t="str">
        <x:f>IF(C19&gt;=C15,"PASS - withstands 2x adverse package-completion error","REMEDIATION - package-completion/price/cost action required")</x:f>
        <x:v>REMEDIATION - package-completion/price/cost action required</x:v>
      </x:c>
      <x:c r="D21" s="73" t="str">
        <x:v>FORMULA</x:v>
      </x:c>
      <x:c r="E21" s="73" t="str">
        <x:v>Proceed with paid pilot only while customer package-completion evidence improves.</x:v>
      </x:c>
      <x:c r="F21" s="69"/>
    </x:row>
    <x:row r="22">
      <x:c r="A22" s="69"/>
      <x:c r="B22" s="69"/>
      <x:c r="C22" s="69"/>
      <x:c r="D22" s="69"/>
      <x:c r="E22" s="69"/>
      <x:c r="F22" s="69"/>
    </x:row>
    <x:row r="23" ht="22" customHeight="1">
      <x:c r="A23" s="71" t="str">
        <x:v>Value anchors</x:v>
      </x:c>
      <x:c r="B23" s="71" t="str">
        <x:v>Value anchors</x:v>
      </x:c>
      <x:c r="C23" s="71" t="str">
        <x:v>Value anchors</x:v>
      </x:c>
      <x:c r="D23" s="71" t="str">
        <x:v>Value anchors</x:v>
      </x:c>
      <x:c r="E23" s="71" t="str">
        <x:v>Value anchors</x:v>
      </x:c>
      <x:c r="F23" s="69"/>
    </x:row>
    <x:row r="24">
      <x:c r="A24" s="74" t="str">
        <x:v>Driver</x:v>
      </x:c>
      <x:c r="B24" s="74" t="str">
        <x:v>Unit</x:v>
      </x:c>
      <x:c r="C24" s="74" t="str">
        <x:v>Base</x:v>
      </x:c>
      <x:c r="D24" s="74" t="str">
        <x:v>Status</x:v>
      </x:c>
      <x:c r="E24" s="74" t="str">
        <x:v>Source / rationale</x:v>
      </x:c>
      <x:c r="F24" s="69"/>
    </x:row>
    <x:row r="25">
      <x:c r="A25" s="73" t="str">
        <x:v>Manual evidence-assembly minutes displaced / job</x:v>
      </x:c>
      <x:c r="B25" s="73" t="str">
        <x:v>minutes</x:v>
      </x:c>
      <x:c r="C25" s="76" t="n">
        <x:v>15</x:v>
      </x:c>
      <x:c r="D25" s="73" t="str">
        <x:v>ASSUMPTION</x:v>
      </x:c>
      <x:c r="E25" s="73" t="str">
        <x:v>Pilot hypothesis: agent packages history/evidence/policy context; analyst still decides.</x:v>
      </x:c>
      <x:c r="F25" s="69"/>
    </x:row>
    <x:row r="26">
      <x:c r="A26" s="73" t="str">
        <x:v>Fully loaded analyst labor rate</x:v>
      </x:c>
      <x:c r="B26" s="73" t="str">
        <x:v>VND / hour</x:v>
      </x:c>
      <x:c r="C26" s="76" t="n">
        <x:v>250000</x:v>
      </x:c>
      <x:c r="D26" s="73" t="str">
        <x:v>ASSUMPTION</x:v>
      </x:c>
      <x:c r="E26" s="73" t="str">
        <x:v>Same rate as Cost/Job reviewer labor; validate against buyer labor data.</x:v>
      </x:c>
      <x:c r="F26" s="69"/>
    </x:row>
    <x:row r="27">
      <x:c r="A27" s="73" t="str">
        <x:v>Labor value displaced / job</x:v>
      </x:c>
      <x:c r="B27" s="73" t="str">
        <x:v>VND / job</x:v>
      </x:c>
      <x:c r="C27" s="78" t="n">
        <x:f>C25/60*C26</x:f>
        <x:v>62500</x:v>
      </x:c>
      <x:c r="D27" s="73" t="str">
        <x:v>FORMULA</x:v>
      </x:c>
      <x:c r="E27" s="73" t="str">
        <x:v>Minutes displaced / 60 x labor rate.</x:v>
      </x:c>
      <x:c r="F27" s="69"/>
    </x:row>
    <x:row r="28">
      <x:c r="A28" s="73" t="str">
        <x:v>Suggested share captured</x:v>
      </x:c>
      <x:c r="B28" s="73" t="str">
        <x:v>% of displaced value</x:v>
      </x:c>
      <x:c r="C28" s="77" t="n">
        <x:v>0.5</x:v>
      </x:c>
      <x:c r="D28" s="73" t="str">
        <x:v>DECISION</x:v>
      </x:c>
      <x:c r="E28" s="73" t="str">
        <x:v>Conservative 50% capture of labor value.</x:v>
      </x:c>
      <x:c r="F28" s="69"/>
    </x:row>
    <x:row r="29">
      <x:c r="A29" s="73" t="str">
        <x:v>Labor-replacement price anchor / job</x:v>
      </x:c>
      <x:c r="B29" s="73" t="str">
        <x:v>VND / job</x:v>
      </x:c>
      <x:c r="C29" s="78" t="n">
        <x:f>C27*C28</x:f>
        <x:v>31250</x:v>
      </x:c>
      <x:c r="D29" s="73" t="str">
        <x:v>FORMULA</x:v>
      </x:c>
      <x:c r="E29" s="73" t="str">
        <x:v>Labor value displaced x capture share.</x:v>
      </x:c>
      <x:c r="F29" s="69"/>
    </x:row>
    <x:row r="30">
      <x:c r="A30" s="73" t="str">
        <x:v>Monthly customer labor savings</x:v>
      </x:c>
      <x:c r="B30" s="73" t="str">
        <x:v>VND / month</x:v>
      </x:c>
      <x:c r="C30" s="78" t="n">
        <x:f>C25/60*C26*'1_Cost_Job'!C6*C14</x:f>
        <x:v>150000000</x:v>
      </x:c>
      <x:c r="D30" s="73" t="str">
        <x:v>FORMULA</x:v>
      </x:c>
      <x:c r="E30" s="73" t="str">
        <x:v>Minutes displaced x labor rate x jobs attempted x commercial package-completion rate.</x:v>
      </x:c>
      <x:c r="F30" s="69"/>
    </x:row>
    <x:row r="31">
      <x:c r="A31" s="73" t="str">
        <x:v>Annual customer labor savings</x:v>
      </x:c>
      <x:c r="B31" s="73" t="str">
        <x:v>VND / year</x:v>
      </x:c>
      <x:c r="C31" s="78" t="n">
        <x:f>C30*12</x:f>
        <x:v>1800000000</x:v>
      </x:c>
      <x:c r="D31" s="73" t="str">
        <x:v>FORMULA</x:v>
      </x:c>
      <x:c r="E31" s="73" t="str">
        <x:v>Monthly savings x 12.</x:v>
      </x:c>
      <x:c r="F31" s="69"/>
    </x:row>
    <x:row r="32">
      <x:c r="A32" s="73" t="str">
        <x:v>Proposed usage price / full labor value</x:v>
      </x:c>
      <x:c r="B32" s="73" t="str">
        <x:v>%</x:v>
      </x:c>
      <x:c r="C32" s="82" t="n">
        <x:f>C7/C27</x:f>
        <x:v>0.512</x:v>
      </x:c>
      <x:c r="D32" s="73" t="str">
        <x:v>FORMULA</x:v>
      </x:c>
      <x:c r="E32" s="73" t="str">
        <x:v>Usage price divided by labor value displaced.</x:v>
      </x:c>
      <x:c r="F32" s="69"/>
    </x:row>
    <x:row r="33">
      <x:c r="A33" s="73" t="str">
        <x:v>Anchor check</x:v>
      </x:c>
      <x:c r="B33" s="73" t="str">
        <x:v>check</x:v>
      </x:c>
      <x:c r="C33" s="79" t="str">
        <x:f>IF(AND(C7&gt;=C9,C7&lt;=C27),"PASS - above floor and below full labor value","REVIEW - strategic premium needs evidence")</x:f>
        <x:v>PASS - above floor and below full labor value</x:v>
      </x:c>
      <x:c r="D33" s="73" t="str">
        <x:v>FORMULA</x:v>
      </x:c>
      <x:c r="E33" s="73" t="str">
        <x:v>Proposed price is above floor and not above full displaced labor value.</x:v>
      </x:c>
      <x:c r="F33" s="69"/>
    </x:row>
    <x:row r="34">
      <x:c r="A34" s="69"/>
      <x:c r="B34" s="69"/>
      <x:c r="C34" s="69"/>
      <x:c r="D34" s="69"/>
      <x:c r="E34" s="69"/>
      <x:c r="F34" s="69"/>
    </x:row>
    <x:row r="35" ht="22" customHeight="1">
      <x:c r="A35" s="71" t="str">
        <x:v>Value Metric Decision Note | exactly 3 core sentences</x:v>
      </x:c>
      <x:c r="B35" s="71" t="str">
        <x:v>Value Metric Decision Note | exactly 3 core sentences</x:v>
      </x:c>
      <x:c r="C35" s="71" t="str">
        <x:v>Value Metric Decision Note | exactly 3 core sentences</x:v>
      </x:c>
      <x:c r="D35" s="71" t="str">
        <x:v>Value Metric Decision Note | exactly 3 core sentences</x:v>
      </x:c>
      <x:c r="E35" s="71" t="str">
        <x:v>Value Metric Decision Note | exactly 3 core sentences</x:v>
      </x:c>
      <x:c r="F35" s="69"/>
    </x:row>
    <x:row r="36" ht="56" customHeight="1">
      <x:c r="A36" s="83" t="str"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B36" s="84"/>
      <x:c r="C36" s="84"/>
      <x:c r="D36" s="84"/>
      <x:c r="E36" s="85"/>
      <x:c r="F36" s="69"/>
    </x:row>
    <x:row r="37" ht="56" customHeight="1">
      <x:c r="A37" s="86"/>
      <x:c r="B37" s="87"/>
      <x:c r="C37" s="87"/>
      <x:c r="D37" s="87"/>
      <x:c r="E37" s="88"/>
      <x:c r="F37" s="69"/>
    </x:row>
    <x:row r="38" ht="56" customHeight="1">
      <x:c r="A38" s="86"/>
      <x:c r="B38" s="87"/>
      <x:c r="C38" s="87"/>
      <x:c r="D38" s="87"/>
      <x:c r="E38" s="88"/>
      <x:c r="F38" s="69"/>
    </x:row>
    <x:row r="39" ht="56" customHeight="1">
      <x:c r="A39" s="89"/>
      <x:c r="B39" s="90"/>
      <x:c r="C39" s="90"/>
      <x:c r="D39" s="90"/>
      <x:c r="E39" s="91"/>
      <x:c r="F39" s="69"/>
    </x:row>
    <x:row r="40">
      <x:c r="A40" s="69"/>
      <x:c r="B40" s="69"/>
      <x:c r="C40" s="69"/>
      <x:c r="D40" s="69"/>
      <x:c r="E40" s="69"/>
      <x:c r="F40" s="69"/>
    </x:row>
    <x:row r="41" ht="22" customHeight="1">
      <x:c r="A41" s="71" t="str">
        <x:v>Package-Completion Sensitivity | variable usage price = 32,000 VND / completed job</x:v>
      </x:c>
      <x:c r="B41" s="71" t="str">
        <x:v>Package-Completion Sensitivity | variable usage price = 32,000 VND / completed job</x:v>
      </x:c>
      <x:c r="C41" s="71" t="str">
        <x:v>Package-Completion Sensitivity | variable usage price = 32,000 VND / completed job</x:v>
      </x:c>
      <x:c r="D41" s="71" t="str">
        <x:v>Package-Completion Sensitivity | variable usage price = 32,000 VND / completed job</x:v>
      </x:c>
      <x:c r="E41" s="71" t="str">
        <x:v>Package-Completion Sensitivity | variable usage price = 32,000 VND / completed job</x:v>
      </x:c>
      <x:c r="F41" s="71" t="str">
        <x:v>Package-Completion Sensitivity | variable usage price = 32,000 VND / completed job</x:v>
      </x:c>
    </x:row>
    <x:row r="42">
      <x:c r="A42" s="74" t="str">
        <x:v>Package completion rate</x:v>
      </x:c>
      <x:c r="B42" s="74" t="str">
        <x:v>Completed commercial jobs</x:v>
      </x:c>
      <x:c r="C42" s="74" t="str">
        <x:v>Modelled escalations</x:v>
      </x:c>
      <x:c r="D42" s="74" t="str">
        <x:v>Direct monthly cost</x:v>
      </x:c>
      <x:c r="E42" s="74" t="str">
        <x:v>Cost / completed job</x:v>
      </x:c>
      <x:c r="F42" s="74" t="str">
        <x:v>Usage GM</x:v>
      </x:c>
    </x:row>
    <x:row r="43">
      <x:c r="A43" s="77" t="n">
        <x:v>0.5</x:v>
      </x:c>
      <x:c r="B43" s="78" t="n">
        <x:f>'1_Cost_Job'!C6*A43</x:f>
        <x:v>1500</x:v>
      </x:c>
      <x:c r="C43" s="78" t="n">
        <x:f>B43*'1_Cost_Job'!C9</x:f>
        <x:v>525</x:v>
      </x:c>
      <x:c r="D43" s="78" t="n">
        <x:f>'1_Cost_Job'!C6*'1_Cost_Job'!C29*(1+'1_Cost_Job'!C40)+'1_Cost_Job'!C43+'1_Cost_Job'!C45+(B43*'1_Cost_Job'!C11*'1_Cost_Job'!C13/60*'1_Cost_Job'!C15)</x:f>
        <x:v>17231080</x:v>
      </x:c>
      <x:c r="E43" s="78" t="n">
        <x:f>D43/B43</x:f>
        <x:v>11487.386666666667</x:v>
      </x:c>
      <x:c r="F43" s="82" t="n">
        <x:f>1-(E43/C7)</x:f>
        <x:v>0.6410191666666667</x:v>
      </x:c>
    </x:row>
    <x:row r="44">
      <x:c r="A44" s="77" t="n">
        <x:v>0.6</x:v>
      </x:c>
      <x:c r="B44" s="78" t="n">
        <x:f>'1_Cost_Job'!C6*A44</x:f>
        <x:v>1800</x:v>
      </x:c>
      <x:c r="C44" s="78" t="n">
        <x:f>B44*'1_Cost_Job'!C9</x:f>
        <x:v>630</x:v>
      </x:c>
      <x:c r="D44" s="78" t="n">
        <x:f>'1_Cost_Job'!C6*'1_Cost_Job'!C29*(1+'1_Cost_Job'!C40)+'1_Cost_Job'!C43+'1_Cost_Job'!C45+(B44*'1_Cost_Job'!C11*'1_Cost_Job'!C13/60*'1_Cost_Job'!C15)</x:f>
        <x:v>17606080</x:v>
      </x:c>
      <x:c r="E44" s="78" t="n">
        <x:f>D44/B44</x:f>
        <x:v>9781.155555555555</x:v>
      </x:c>
      <x:c r="F44" s="82" t="n">
        <x:f>1-(E44/C7)</x:f>
        <x:v>0.6943388888888888</x:v>
      </x:c>
    </x:row>
    <x:row r="45">
      <x:c r="A45" s="77" t="n">
        <x:v>0.7</x:v>
      </x:c>
      <x:c r="B45" s="78" t="n">
        <x:f>'1_Cost_Job'!C6*A45</x:f>
        <x:v>2100</x:v>
      </x:c>
      <x:c r="C45" s="78" t="n">
        <x:f>B45*'1_Cost_Job'!C9</x:f>
        <x:v>735</x:v>
      </x:c>
      <x:c r="D45" s="78" t="n">
        <x:f>'1_Cost_Job'!C6*'1_Cost_Job'!C29*(1+'1_Cost_Job'!C40)+'1_Cost_Job'!C43+'1_Cost_Job'!C45+(B45*'1_Cost_Job'!C11*'1_Cost_Job'!C13/60*'1_Cost_Job'!C15)</x:f>
        <x:v>17981080</x:v>
      </x:c>
      <x:c r="E45" s="78" t="n">
        <x:f>D45/B45</x:f>
        <x:v>8562.419047619047</x:v>
      </x:c>
      <x:c r="F45" s="82" t="n">
        <x:f>1-(E45/C7)</x:f>
        <x:v>0.7324244047619048</x:v>
      </x:c>
    </x:row>
    <x:row r="46">
      <x:c r="A46" s="77" t="n">
        <x:v>0.8</x:v>
      </x:c>
      <x:c r="B46" s="78" t="n">
        <x:f>'1_Cost_Job'!C6*A46</x:f>
        <x:v>2400</x:v>
      </x:c>
      <x:c r="C46" s="78" t="n">
        <x:f>B46*'1_Cost_Job'!C9</x:f>
        <x:v>840</x:v>
      </x:c>
      <x:c r="D46" s="78" t="n">
        <x:f>'1_Cost_Job'!C6*'1_Cost_Job'!C29*(1+'1_Cost_Job'!C40)+'1_Cost_Job'!C43+'1_Cost_Job'!C45+(B46*'1_Cost_Job'!C11*'1_Cost_Job'!C13/60*'1_Cost_Job'!C15)</x:f>
        <x:v>18356080</x:v>
      </x:c>
      <x:c r="E46" s="78" t="n">
        <x:f>D46/B46</x:f>
        <x:v>7648.366666666667</x:v>
      </x:c>
      <x:c r="F46" s="82" t="n">
        <x:f>1-(E46/C7)</x:f>
        <x:v>0.7609885416666666</x:v>
      </x:c>
    </x:row>
    <x:row r="47">
      <x:c r="A47" s="77" t="n">
        <x:v>0.9</x:v>
      </x:c>
      <x:c r="B47" s="78" t="n">
        <x:f>'1_Cost_Job'!C6*A47</x:f>
        <x:v>2700</x:v>
      </x:c>
      <x:c r="C47" s="78" t="n">
        <x:f>B47*'1_Cost_Job'!C9</x:f>
        <x:v>944.9999999999999</x:v>
      </x:c>
      <x:c r="D47" s="78" t="n">
        <x:f>'1_Cost_Job'!C6*'1_Cost_Job'!C29*(1+'1_Cost_Job'!C40)+'1_Cost_Job'!C43+'1_Cost_Job'!C45+(B47*'1_Cost_Job'!C11*'1_Cost_Job'!C13/60*'1_Cost_Job'!C15)</x:f>
        <x:v>18731080</x:v>
      </x:c>
      <x:c r="E47" s="78" t="n">
        <x:f>D47/B47</x:f>
        <x:v>6937.437037037037</x:v>
      </x:c>
      <x:c r="F47" s="82" t="n">
        <x:f>1-(E47/C7)</x:f>
        <x:v>0.7832050925925926</x:v>
      </x:c>
    </x:row>
    <x:row r="48">
      <x:c r="A48" s="69"/>
      <x:c r="B48" s="69"/>
      <x:c r="C48" s="69"/>
      <x:c r="D48" s="69"/>
      <x:c r="E48" s="69"/>
      <x:c r="F48" s="69"/>
    </x:row>
    <x:row r="49" ht="22" customHeight="1">
      <x:c r="A49" s="71" t="str">
        <x:v>Value-Created Anchor Audit</x:v>
      </x:c>
      <x:c r="B49" s="71" t="str">
        <x:v>Value-Created Anchor Audit</x:v>
      </x:c>
      <x:c r="C49" s="71" t="str">
        <x:v>Value-Created Anchor Audit</x:v>
      </x:c>
      <x:c r="D49" s="71" t="str">
        <x:v>Value-Created Anchor Audit</x:v>
      </x:c>
      <x:c r="E49" s="71" t="str">
        <x:v>Value-Created Anchor Audit</x:v>
      </x:c>
      <x:c r="F49" s="71" t="str">
        <x:v>Value-Created Anchor Audit</x:v>
      </x:c>
    </x:row>
    <x:row r="50">
      <x:c r="A50" s="74" t="str">
        <x:v>Anchor</x:v>
      </x:c>
      <x:c r="B50" s="74" t="str">
        <x:v>Value</x:v>
      </x:c>
      <x:c r="C50" s="74" t="str">
        <x:v>Status</x:v>
      </x:c>
      <x:c r="D50" s="74" t="str">
        <x:v>Source / rationale</x:v>
      </x:c>
      <x:c r="E50" s="74" t="str">
        <x:v>Decision</x:v>
      </x:c>
      <x:c r="F50" s="74" t="str">
        <x:v>Evidence gap</x:v>
      </x:c>
    </x:row>
    <x:row r="51">
      <x:c r="A51" s="73" t="str">
        <x:v>Outcome / loss-avoidance capture</x:v>
      </x:c>
      <x:c r="B51" s="73" t="str">
        <x:v>N/A</x:v>
      </x:c>
      <x:c r="C51" s="73" t="str">
        <x:v>MISSING EVIDENCE</x:v>
      </x:c>
      <x:c r="D51" s="73" t="str">
        <x:v>No measured fraud-loss reduction, false-positive reduction or customer outcome exists.</x:v>
      </x:c>
      <x:c r="E51" s="73" t="str">
        <x:v>Do not use outcome pricing.</x:v>
      </x:c>
      <x:c r="F51" s="73" t="str">
        <x:v>Pilot must measure outcome delta before any outcome metric.</x:v>
      </x:c>
    </x:row>
    <x:row r="52">
      <x:c r="A52" s="73" t="str">
        <x:v>Labor replacement</x:v>
      </x:c>
      <x:c r="B52" s="78" t="n">
        <x:f>C29</x:f>
        <x:v>31250</x:v>
      </x:c>
      <x:c r="C52" s="73" t="str">
        <x:v>CALCULATED</x:v>
      </x:c>
      <x:c r="D52" s="73" t="str">
        <x:v>15 min x 250,000 VND/hour x 50% capture; linked to Value anchors above.</x:v>
      </x:c>
      <x:c r="E52" s="73" t="str">
        <x:v>Use as usage anchor.</x:v>
      </x:c>
      <x:c r="F52" s="73" t="str">
        <x:v>Validate buyer labor and time-on-task in pilot.</x:v>
      </x:c>
    </x:row>
  </x:sheetData>
  <x:mergeCells>
    <x:mergeCell ref="A1:E1"/>
    <x:mergeCell ref="A2:E2"/>
    <x:mergeCell ref="A4:E4"/>
    <x:mergeCell ref="A23:E23"/>
    <x:mergeCell ref="A35:E35"/>
    <x:mergeCell ref="A36:E39"/>
    <x:mergeCell ref="A41:F41"/>
    <x:mergeCell ref="A49:F49"/>
  </x:mergeCells>
  <x:conditionalFormatting sqref="F43:F47">
    <x:cfRule type="cellIs" dxfId="0" priority="1" operator="lessThan">
      <x:formula>0.6</x:formula>
    </x:cfRule>
  </x:conditionalFormatting>
  <x:conditionalFormatting sqref="C12:C12">
    <x:cfRule type="cellIs" dxfId="2" priority="2" operator="greaterThanOrEqual">
      <x:formula>0.6</x:formula>
    </x:cfRule>
  </x:conditionalFormatting>
  <x:conditionalFormatting sqref="C19:C19">
    <x:cfRule type="cellIs" dxfId="3" priority="3" operator="lessThan">
      <x:formula>0.6</x:formula>
    </x:cfRule>
  </x:conditionalFormatting>
  <x:pageMargins left="0.7" right="0.7" top="0.75" bottom="0.75" header="0.3" footer="0.3"/>
  <x:legacyDrawing xmlns:r="http://schemas.openxmlformats.org/officeDocument/2006/relationships" r:id="R4a4a985b91504186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31" hidden="0" customWidth="1"/>
    <x:col min="4" max="4" width="50" hidden="0" customWidth="1"/>
    <x:col min="5" max="5" width="23" hidden="0" customWidth="1"/>
  </x:cols>
  <x:sheetData>
    <x:row r="1" ht="28" customHeight="1">
      <x:c r="A1" s="100" t="str">
        <x:v>3 | VALUE METRIC DECISION</x:v>
      </x:c>
      <x:c r="B1" s="100" t="str">
        <x:v>3 | VALUE METRIC DECISION</x:v>
      </x:c>
      <x:c r="C1" s="100" t="str">
        <x:v>3 | VALUE METRIC DECISION</x:v>
      </x:c>
      <x:c r="D1" s="100" t="str">
        <x:v>3 | VALUE METRIC DECISION</x:v>
      </x:c>
      <x:c r="E1" s="100" t="str">
        <x:v>3 | VALUE METRIC DECISION</x:v>
      </x:c>
    </x:row>
    <x:row r="2" ht="28" customHeight="1">
      <x:c r="A2" s="68" t="str">
        <x:v>Attribution asks whether P-015 caused a provable customer result. Autonomy asks whether P-015 completes the job end-to-end. Scores are current-state evidence, not roadmap claims.</x:v>
      </x:c>
      <x:c r="B2" s="68" t="str">
        <x:v>Attribution asks whether P-015 caused a provable customer result. Autonomy asks whether P-015 completes the job end-to-end. Scores are current-state evidence, not roadmap claims.</x:v>
      </x:c>
      <x:c r="C2" s="68" t="str">
        <x:v>Attribution asks whether P-015 caused a provable customer result. Autonomy asks whether P-015 completes the job end-to-end. Scores are current-state evidence, not roadmap claims.</x:v>
      </x:c>
      <x:c r="D2" s="68" t="str">
        <x:v>Attribution asks whether P-015 caused a provable customer result. Autonomy asks whether P-015 completes the job end-to-end. Scores are current-state evidence, not roadmap claims.</x:v>
      </x:c>
      <x:c r="E2" s="68" t="str">
        <x:v>Attribution asks whether P-015 caused a provable customer result. Autonomy asks whether P-015 completes the job end-to-end. Scores are current-state evidence, not roadmap claims.</x:v>
      </x:c>
    </x:row>
    <x:row r="3">
      <x:c r="A3" s="69"/>
      <x:c r="B3" s="69"/>
      <x:c r="C3" s="69"/>
      <x:c r="D3" s="69"/>
      <x:c r="E3" s="69"/>
    </x:row>
    <x:row r="4" ht="22" customHeight="1">
      <x:c r="A4" s="71" t="str">
        <x:v>Seat / Usage / Outcome / Hybrid scoring</x:v>
      </x:c>
      <x:c r="B4" s="71" t="str">
        <x:v>Seat / Usage / Outcome / Hybrid scoring</x:v>
      </x:c>
      <x:c r="C4" s="71" t="str">
        <x:v>Seat / Usage / Outcome / Hybrid scoring</x:v>
      </x:c>
      <x:c r="D4" s="71" t="str">
        <x:v>Seat / Usage / Outcome / Hybrid scoring</x:v>
      </x:c>
      <x:c r="E4" s="71" t="str">
        <x:v>Seat / Usage / Outcome / Hybrid scoring</x:v>
      </x:c>
    </x:row>
    <x:row r="5">
      <x:c r="A5" s="74" t="str">
        <x:v>Metric</x:v>
      </x:c>
      <x:c r="B5" s="74" t="str">
        <x:v>Attribution (1-5)</x:v>
      </x:c>
      <x:c r="C5" s="74" t="str">
        <x:v>Autonomy (1-5)</x:v>
      </x:c>
      <x:c r="D5" s="74" t="str">
        <x:v>Evidence fit</x:v>
      </x:c>
      <x:c r="E5" s="74" t="str">
        <x:v>Decision</x:v>
      </x:c>
    </x:row>
    <x:row r="6">
      <x:c r="A6" s="73" t="str">
        <x:v>Seat</x:v>
      </x:c>
      <x:c r="B6" s="80" t="n">
        <x:v>2</x:v>
      </x:c>
      <x:c r="C6" s="80" t="n">
        <x:v>1</x:v>
      </x:c>
      <x:c r="D6" s="73" t="str">
        <x:v>Low attribution and low autonomy; seat is easy to budget but heavy use can decouple revenue from cost.</x:v>
      </x:c>
      <x:c r="E6" s="73" t="str">
        <x:v>REJECT</x:v>
      </x:c>
    </x:row>
    <x:row r="7">
      <x:c r="A7" s="73" t="str">
        <x:v>Usage</x:v>
      </x:c>
      <x:c r="B7" s="80" t="n">
        <x:v>2</x:v>
      </x:c>
      <x:c r="C7" s="80" t="n">
        <x:v>1</x:v>
      </x:c>
      <x:c r="D7" s="73" t="str">
        <x:v>Completed-job usage reflects cost and value better than a seat, but needs a base fee for workflow/integration.</x:v>
      </x:c>
      <x:c r="E7" s="73" t="str">
        <x:v>PARTIAL</x:v>
      </x:c>
    </x:row>
    <x:row r="8">
      <x:c r="A8" s="73" t="str">
        <x:v>Outcome</x:v>
      </x:c>
      <x:c r="B8" s="80" t="n">
        <x:v>2</x:v>
      </x:c>
      <x:c r="C8" s="80" t="n">
        <x:v>1</x:v>
      </x:c>
      <x:c r="D8" s="73" t="str">
        <x:v>Not justified: no measured analyst outcome, fraud-loss attribution or autonomous final resolution.</x:v>
      </x:c>
      <x:c r="E8" s="73" t="str">
        <x:v>REJECT</x:v>
      </x:c>
    </x:row>
    <x:row r="9">
      <x:c r="A9" s="73" t="str">
        <x:v>Hybrid</x:v>
      </x:c>
      <x:c r="B9" s="80" t="n">
        <x:v>2</x:v>
      </x:c>
      <x:c r="C9" s="80" t="n">
        <x:v>1</x:v>
      </x:c>
      <x:c r="D9" s="73" t="str">
        <x:v>Matches low-attribution/low-autonomy matrix and Day24 hybrid direction; platform access + completed job.</x:v>
      </x:c>
      <x:c r="E9" s="73" t="str">
        <x:v>SELECTED</x:v>
      </x:c>
    </x:row>
    <x:row r="10">
      <x:c r="A10" s="69"/>
      <x:c r="B10" s="69"/>
      <x:c r="C10" s="69"/>
      <x:c r="D10" s="69"/>
      <x:c r="E10" s="69"/>
    </x:row>
    <x:row r="11">
      <x:c r="A11" s="74" t="str">
        <x:v>Decision field</x:v>
      </x:c>
      <x:c r="B11" s="74" t="str">
        <x:v>Value</x:v>
      </x:c>
      <x:c r="C11" s="74" t="str">
        <x:v>Source / evidence</x:v>
      </x:c>
      <x:c r="D11" s="74" t="str">
        <x:v>Status</x:v>
      </x:c>
      <x:c r="E11" s="74" t="str">
        <x:v>Notes</x:v>
      </x:c>
    </x:row>
    <x:row r="12">
      <x:c r="A12" s="73" t="str">
        <x:v>Selected value metric</x:v>
      </x:c>
      <x:c r="B12" s="73" t="str">
        <x:v>Hybrid</x:v>
      </x:c>
      <x:c r="C12" s="73" t="str">
        <x:v>3_Value_Metric decision table and 2_Pricing Decision Note</x:v>
      </x:c>
      <x:c r="D12" s="73" t="str">
        <x:v>VERIFIED DECISION</x:v>
      </x:c>
      <x:c r="E12" s="73" t="str">
        <x:v>Monthly platform fee plus per completed investigation job.</x:v>
      </x:c>
    </x:row>
    <x:row r="13">
      <x:c r="A13" s="73" t="str">
        <x:v>Attribution score</x:v>
      </x:c>
      <x:c r="B13" s="73" t="n">
        <x:v>2</x:v>
      </x:c>
      <x:c r="C13" s="73" t="str">
        <x:v>P-015 artifacts/agent_metrics.json: structured output 100%, grounding 80%; no customer time/outcome measurement.</x:v>
      </x:c>
      <x:c r="D13" s="73" t="str">
        <x:v>PARTIAL EVIDENCE</x:v>
      </x:c>
      <x:c r="E13" s="73" t="str">
        <x:v>Proxy quality evidence is not causal value evidence.</x:v>
      </x:c>
    </x:row>
    <x:row r="14">
      <x:c r="A14" s="73" t="str">
        <x:v>Autonomy score</x:v>
      </x:c>
      <x:c r="B14" s="73" t="n">
        <x:v>1</x:v>
      </x:c>
      <x:c r="C14" s="73" t="str">
        <x:v>P-015 evaluation_report.md and architecture docs: human review required for 4/5 cases; AI recommends only.</x:v>
      </x:c>
      <x:c r="D14" s="73" t="str">
        <x:v>VERIFIED CURRENT STATE</x:v>
      </x:c>
      <x:c r="E14" s="73" t="str">
        <x:v>No outcome billing until final-resolution ownership is instrumented.</x:v>
      </x:c>
    </x:row>
    <x:row r="15">
      <x:c r="A15" s="73" t="str">
        <x:v>Commercial billing job definition</x:v>
      </x:c>
      <x:c r="B15" s="73" t="str">
        <x:v>One completed grounded investigation package with required evidence/decision fields; customer final disposition recorded separately.</x:v>
      </x:c>
      <x:c r="C15" s="73" t="str">
        <x:v>P-015 metrics-pack core action and scope; adapted for the copilot billing boundary.</x:v>
      </x:c>
      <x:c r="D15" s="73" t="str">
        <x:v>DEFINITION</x:v>
      </x:c>
      <x:c r="E15" s="73" t="str">
        <x:v>Bill only when the objective package-completion rule is met; do not treat human-gated review as autonomous containment.</x:v>
      </x:c>
    </x:row>
    <x:row r="16">
      <x:c r="A16" s="73" t="str">
        <x:v>Matrix result</x:v>
      </x:c>
      <x:c r="B16" s="73" t="str">
        <x:v>Low Attribution + Low Autonomy -&gt; Seat / Hybrid</x:v>
      </x:c>
      <x:c r="C16" s="73" t="str">
        <x:v>Day25 assignment rule</x:v>
      </x:c>
      <x:c r="D16" s="73" t="str">
        <x:v>VERIFIED RULE</x:v>
      </x:c>
      <x:c r="E16" s="73" t="str">
        <x:v>Hybrid selected because variable cost scales with completed jobs.</x:v>
      </x:c>
    </x:row>
    <x:row r="17">
      <x:c r="A17" s="73" t="str">
        <x:v>Decision Note</x:v>
      </x:c>
      <x:c r="B17" s="92" t="str">
        <x:f>'2_Pricing'!A36</x:f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C17" s="93" t="str">
        <x:v>2_Pricing!A36:E39</x:v>
      </x:c>
      <x:c r="D17" s="93" t="str">
        <x:v>FORMULA LINK</x:v>
      </x:c>
      <x:c r="E17" s="93" t="str">
        <x:v>Exactly 3 core sentences; no market override claimed.</x:v>
      </x:c>
    </x:row>
  </x:sheetData>
  <x:mergeCells>
    <x:mergeCell ref="A1:E1"/>
    <x:mergeCell ref="A2:E2"/>
    <x:mergeCell ref="A4:E4"/>
    <x:mergeCell ref="B17:E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53" hidden="0" customWidth="1"/>
    <x:col min="3" max="3" width="24" hidden="0" customWidth="1"/>
    <x:col min="4" max="4" width="20" hidden="0" customWidth="1"/>
    <x:col min="5" max="5" width="48" hidden="0" customWidth="1"/>
  </x:cols>
  <x:sheetData>
    <x:row r="1" ht="28" customHeight="1">
      <x:c r="A1" s="100" t="str">
        <x:v>4 | CHANNEL FIT &amp; SALES-LED AFFORDABILITY</x:v>
      </x:c>
      <x:c r="B1" s="100" t="str">
        <x:v>4 | CHANNEL FIT &amp; SALES-LED AFFORDABILITY</x:v>
      </x:c>
      <x:c r="C1" s="100" t="str">
        <x:v>4 | CHANNEL FIT &amp; SALES-LED AFFORDABILITY</x:v>
      </x:c>
      <x:c r="D1" s="100" t="str">
        <x:v>4 | CHANNEL FIT &amp; SALES-LED AFFORDABILITY</x:v>
      </x:c>
      <x:c r="E1" s="100" t="str">
        <x:v>4 | CHANNEL FIT &amp; SALES-LED AFFORDABILITY</x:v>
      </x:c>
    </x:row>
    <x:row r="2" ht="28" customHeight="1">
      <x:c r="A2" s="68" t="str">
        <x:v>Exactly one primary channel for the first 90 days: Sales-Led. The product touches fraud operations, existing systems and procurement, so a focused sales motion is the current evidence-aligned choice.</x:v>
      </x:c>
      <x:c r="B2" s="68" t="str">
        <x:v>Exactly one primary channel for the first 90 days: Sales-Led. The product touches fraud operations, existing systems and procurement, so a focused sales motion is the current evidence-aligned choice.</x:v>
      </x:c>
      <x:c r="C2" s="68" t="str">
        <x:v>Exactly one primary channel for the first 90 days: Sales-Led. The product touches fraud operations, existing systems and procurement, so a focused sales motion is the current evidence-aligned choice.</x:v>
      </x:c>
      <x:c r="D2" s="68" t="str">
        <x:v>Exactly one primary channel for the first 90 days: Sales-Led. The product touches fraud operations, existing systems and procurement, so a focused sales motion is the current evidence-aligned choice.</x:v>
      </x:c>
      <x:c r="E2" s="68" t="str">
        <x:v>Exactly one primary channel for the first 90 days: Sales-Led. The product touches fraud operations, existing systems and procurement, so a focused sales motion is the current evidence-aligned choice.</x:v>
      </x:c>
    </x:row>
    <x:row r="3">
      <x:c r="A3" s="69"/>
      <x:c r="B3" s="69"/>
      <x:c r="C3" s="69"/>
      <x:c r="D3" s="69"/>
      <x:c r="E3" s="69"/>
    </x:row>
    <x:row r="4" ht="22" customHeight="1">
      <x:c r="A4" s="71" t="str">
        <x:v>Channel and CAC budget</x:v>
      </x:c>
      <x:c r="B4" s="71" t="str">
        <x:v>Channel and CAC budget</x:v>
      </x:c>
      <x:c r="C4" s="71" t="str">
        <x:v>Channel and CAC budget</x:v>
      </x:c>
      <x:c r="D4" s="71" t="str">
        <x:v>Channel and CAC budget</x:v>
      </x:c>
      <x:c r="E4" s="71" t="str">
        <x:v>Channel and CAC budget</x:v>
      </x:c>
    </x:row>
    <x:row r="5">
      <x:c r="A5" s="74" t="str">
        <x:v>Driver</x:v>
      </x:c>
      <x:c r="B5" s="74" t="str">
        <x:v>Unit</x:v>
      </x:c>
      <x:c r="C5" s="74" t="str">
        <x:v>Base</x:v>
      </x:c>
      <x:c r="D5" s="74" t="str">
        <x:v>Status</x:v>
      </x:c>
      <x:c r="E5" s="74" t="str">
        <x:v>Source / rationale</x:v>
      </x:c>
    </x:row>
    <x:row r="6">
      <x:c r="A6" s="73" t="str">
        <x:v>Primary channel</x:v>
      </x:c>
      <x:c r="B6" s="73" t="str">
        <x:v>choice</x:v>
      </x:c>
      <x:c r="C6" s="80" t="str">
        <x:v>Sales-Led</x:v>
      </x:c>
      <x:c r="D6" s="73" t="str">
        <x:v>DECISION</x:v>
      </x:c>
      <x:c r="E6" s="73" t="str">
        <x:v>One channel only; integration/security/procurement make direct sales the first motion.</x:v>
      </x:c>
    </x:row>
    <x:row r="7">
      <x:c r="A7" s="73" t="str">
        <x:v>Segment</x:v>
      </x:c>
      <x:c r="B7" s="73" t="str">
        <x:v>segment</x:v>
      </x:c>
      <x:c r="C7" s="80" t="str">
        <x:v>Mid-market fintech / payment processor</x:v>
      </x:c>
      <x:c r="D7" s="73" t="str">
        <x:v>DECISION</x:v>
      </x:c>
      <x:c r="E7" s="73" t="str">
        <x:v>First niche from P-015 business direction.</x:v>
      </x:c>
    </x:row>
    <x:row r="8">
      <x:c r="A8" s="73" t="str">
        <x:v>Monthly ARPU</x:v>
      </x:c>
      <x:c r="B8" s="73" t="str">
        <x:v>VND / month</x:v>
      </x:c>
      <x:c r="C8" s="78" t="n">
        <x:f>'2_Pricing'!C8</x:f>
        <x:v>106800000</x:v>
      </x:c>
      <x:c r="D8" s="73" t="str">
        <x:v>FORMULA</x:v>
      </x:c>
      <x:c r="E8" s="73" t="str">
        <x:v>Blended ARPU from hybrid pricing.</x:v>
      </x:c>
    </x:row>
    <x:row r="9">
      <x:c r="A9" s="73" t="str">
        <x:v>Blended GM</x:v>
      </x:c>
      <x:c r="B9" s="73" t="str">
        <x:v>%</x:v>
      </x:c>
      <x:c r="C9" s="82" t="n">
        <x:f>'2_Pricing'!C12</x:f>
        <x:v>0.8281265917602997</x:v>
      </x:c>
      <x:c r="D9" s="73" t="str">
        <x:v>FORMULA</x:v>
      </x:c>
      <x:c r="E9" s="73" t="str">
        <x:v>Blended GM from pricing sheet.</x:v>
      </x:c>
    </x:row>
    <x:row r="10">
      <x:c r="A10" s="73" t="str">
        <x:v>Allowed payback</x:v>
      </x:c>
      <x:c r="B10" s="73" t="str">
        <x:v>months</x:v>
      </x:c>
      <x:c r="C10" s="76" t="n">
        <x:v>12</x:v>
      </x:c>
      <x:c r="D10" s="73" t="str">
        <x:v>DECISION</x:v>
      </x:c>
      <x:c r="E10" s="73" t="str">
        <x:v>Conservative below mid-market &lt;18-month assignment ceiling.</x:v>
      </x:c>
    </x:row>
    <x:row r="11">
      <x:c r="A11" s="73" t="str">
        <x:v>CAC budget / customer</x:v>
      </x:c>
      <x:c r="B11" s="73" t="str">
        <x:v>VND / customer</x:v>
      </x:c>
      <x:c r="C11" s="78" t="n">
        <x:f>C8*C9*C10</x:f>
        <x:v>1061327040</x:v>
      </x:c>
      <x:c r="D11" s="73" t="str">
        <x:v>FORMULA</x:v>
      </x:c>
      <x:c r="E11" s="73" t="str">
        <x:v>ARPU x GM x payback months.</x:v>
      </x:c>
    </x:row>
    <x:row r="12">
      <x:c r="A12" s="73" t="str">
        <x:v>ACV</x:v>
      </x:c>
      <x:c r="B12" s="73" t="str">
        <x:v>VND / year</x:v>
      </x:c>
      <x:c r="C12" s="78" t="n">
        <x:f>C8*12</x:f>
        <x:v>1281600000</x:v>
      </x:c>
      <x:c r="D12" s="73" t="str">
        <x:v>FORMULA</x:v>
      </x:c>
      <x:c r="E12" s="73" t="str">
        <x:v>Monthly ARPU x 12.</x:v>
      </x:c>
    </x:row>
    <x:row r="13">
      <x:c r="A13" s="73" t="str">
        <x:v>Annual quota / AE</x:v>
      </x:c>
      <x:c r="B13" s="73" t="str">
        <x:v>VND / year</x:v>
      </x:c>
      <x:c r="C13" s="76" t="n">
        <x:v>3600000000</x:v>
      </x:c>
      <x:c r="D13" s="73" t="str">
        <x:v>ASSUMPTION</x:v>
      </x:c>
      <x:c r="E13" s="73" t="str">
        <x:v>Focused AE quota for a new vertical motion.</x:v>
      </x:c>
    </x:row>
    <x:row r="14">
      <x:c r="A14" s="73" t="str">
        <x:v>Deals / AE / year</x:v>
      </x:c>
      <x:c r="B14" s="73" t="str">
        <x:v>deals</x:v>
      </x:c>
      <x:c r="C14" s="78" t="n">
        <x:f>C13/C12</x:f>
        <x:v>2.808988764044944</x:v>
      </x:c>
      <x:c r="D14" s="73" t="str">
        <x:v>FORMULA</x:v>
      </x:c>
      <x:c r="E14" s="73" t="str">
        <x:v>Annual quota / ACV.</x:v>
      </x:c>
    </x:row>
    <x:row r="15">
      <x:c r="A15" s="73" t="str">
        <x:v>Realistic selling days / year</x:v>
      </x:c>
      <x:c r="B15" s="73" t="str">
        <x:v>days</x:v>
      </x:c>
      <x:c r="C15" s="76" t="n">
        <x:v>220</x:v>
      </x:c>
      <x:c r="D15" s="73" t="str">
        <x:v>ASSUMPTION</x:v>
      </x:c>
      <x:c r="E15" s="73" t="str">
        <x:v>Working selling days after leave/holidays.</x:v>
      </x:c>
    </x:row>
    <x:row r="16">
      <x:c r="A16" s="73" t="str">
        <x:v>Deals / AE / selling day</x:v>
      </x:c>
      <x:c r="B16" s="73" t="str">
        <x:v>deals / day</x:v>
      </x:c>
      <x:c r="C16" s="94" t="n">
        <x:f>C14/C15</x:f>
        <x:v>0.012768130745658836</x:v>
      </x:c>
      <x:c r="D16" s="73" t="str">
        <x:v>FORMULA</x:v>
      </x:c>
      <x:c r="E16" s="73" t="str">
        <x:v>Deals per AE per year / selling days.</x:v>
      </x:c>
    </x:row>
    <x:row r="17">
      <x:c r="A17" s="73" t="str">
        <x:v>Fully loaded AE cost</x:v>
      </x:c>
      <x:c r="B17" s="73" t="str">
        <x:v>VND / year</x:v>
      </x:c>
      <x:c r="C17" s="76" t="n">
        <x:v>600000000</x:v>
      </x:c>
      <x:c r="D17" s="73" t="str">
        <x:v>ASSUMPTION</x:v>
      </x:c>
      <x:c r="E17" s="73" t="str">
        <x:v>Compensation + benefits + sales tooling allocation.</x:v>
      </x:c>
    </x:row>
    <x:row r="18">
      <x:c r="A18" s="73" t="str">
        <x:v>Qualified opportunities / AE / year</x:v>
      </x:c>
      <x:c r="B18" s="73" t="str">
        <x:v>opportunities</x:v>
      </x:c>
      <x:c r="C18" s="76" t="n">
        <x:v>12</x:v>
      </x:c>
      <x:c r="D18" s="73" t="str">
        <x:v>ASSUMPTION</x:v>
      </x:c>
      <x:c r="E18" s="73" t="str">
        <x:v>Planning funnel volume; validate in first 90 days.</x:v>
      </x:c>
    </x:row>
    <x:row r="19">
      <x:c r="A19" s="73" t="str">
        <x:v>Win rate</x:v>
      </x:c>
      <x:c r="B19" s="73" t="str">
        <x:v>%</x:v>
      </x:c>
      <x:c r="C19" s="77" t="n">
        <x:v>0.25</x:v>
      </x:c>
      <x:c r="D19" s="73" t="str">
        <x:v>ASSUMPTION</x:v>
      </x:c>
      <x:c r="E19" s="73" t="str">
        <x:v>Planning win rate for qualified mid-market opportunities.</x:v>
      </x:c>
    </x:row>
    <x:row r="20">
      <x:c r="A20" s="73" t="str">
        <x:v>Selling cost / qualified opportunity</x:v>
      </x:c>
      <x:c r="B20" s="73" t="str">
        <x:v>VND / opportunity</x:v>
      </x:c>
      <x:c r="C20" s="78" t="n">
        <x:f>C17/C18</x:f>
        <x:v>50000000</x:v>
      </x:c>
      <x:c r="D20" s="73" t="str">
        <x:v>FORMULA</x:v>
      </x:c>
      <x:c r="E20" s="73" t="str">
        <x:v>AE cost / qualified opportunities.</x:v>
      </x:c>
    </x:row>
    <x:row r="21">
      <x:c r="A21" s="73" t="str">
        <x:v>Selling cost / won deal</x:v>
      </x:c>
      <x:c r="B21" s="73" t="str">
        <x:v>VND / won deal</x:v>
      </x:c>
      <x:c r="C21" s="78" t="n">
        <x:f>C20/C19</x:f>
        <x:v>200000000</x:v>
      </x:c>
      <x:c r="D21" s="73" t="str">
        <x:v>FORMULA</x:v>
      </x:c>
      <x:c r="E21" s="73" t="str">
        <x:v>Selling cost / opportunity / win rate.</x:v>
      </x:c>
    </x:row>
    <x:row r="22">
      <x:c r="A22" s="73" t="str">
        <x:v>Pre-sales + onboarding allocation</x:v>
      </x:c>
      <x:c r="B22" s="73" t="str">
        <x:v>VND / customer</x:v>
      </x:c>
      <x:c r="C22" s="76" t="n">
        <x:v>150000000</x:v>
      </x:c>
      <x:c r="D22" s="73" t="str">
        <x:v>ASSUMPTION</x:v>
      </x:c>
      <x:c r="E22" s="73" t="str">
        <x:v>Integration and procurement effort allocation.</x:v>
      </x:c>
    </x:row>
    <x:row r="23">
      <x:c r="A23" s="73" t="str">
        <x:v>Estimated CAC / channel</x:v>
      </x:c>
      <x:c r="B23" s="73" t="str">
        <x:v>VND / customer</x:v>
      </x:c>
      <x:c r="C23" s="78" t="n">
        <x:f>C21+C22</x:f>
        <x:v>350000000</x:v>
      </x:c>
      <x:c r="D23" s="73" t="str">
        <x:v>FORMULA</x:v>
      </x:c>
      <x:c r="E23" s="73" t="str">
        <x:v>Selling cost / won deal + pre-sales/onboarding.</x:v>
      </x:c>
    </x:row>
    <x:row r="24">
      <x:c r="A24" s="73" t="str">
        <x:v>Affordability gap</x:v>
      </x:c>
      <x:c r="B24" s="73" t="str">
        <x:v>VND / customer</x:v>
      </x:c>
      <x:c r="C24" s="78" t="n">
        <x:f>C11-C23</x:f>
        <x:v>711327040</x:v>
      </x:c>
      <x:c r="D24" s="73" t="str">
        <x:v>FORMULA</x:v>
      </x:c>
      <x:c r="E24" s="73" t="str">
        <x:v>CAC budget less estimated CAC; positive is affordable.</x:v>
      </x:c>
    </x:row>
    <x:row r="25">
      <x:c r="A25" s="73" t="str">
        <x:v>ACV (USD reference)</x:v>
      </x:c>
      <x:c r="B25" s="73" t="str">
        <x:v>USD / year</x:v>
      </x:c>
      <x:c r="C25" s="95" t="n">
        <x:f>C12/'1_Cost_Job'!C16</x:f>
        <x:v>49292.307692307695</x:v>
      </x:c>
      <x:c r="D25" s="73" t="str">
        <x:v>FORMULA</x:v>
      </x:c>
      <x:c r="E25" s="73" t="str">
        <x:v>ACV in VND divided by the explicit planning FX; reference only, not a quoted USD contract price.</x:v>
      </x:c>
    </x:row>
    <x:row r="26">
      <x:c r="A26" s="73" t="str">
        <x:v>Affordability ratio</x:v>
      </x:c>
      <x:c r="B26" s="73" t="str">
        <x:v>x</x:v>
      </x:c>
      <x:c r="C26" s="96" t="n">
        <x:f>C11/C23</x:f>
        <x:v>3.0323629714285714</x:v>
      </x:c>
      <x:c r="D26" s="73" t="str">
        <x:v>FORMULA</x:v>
      </x:c>
      <x:c r="E26" s="73" t="str">
        <x:v>CAC budget divided by estimated CAC; above 1.00x indicates headroom.</x:v>
      </x:c>
    </x:row>
    <x:row r="27">
      <x:c r="A27" s="69"/>
      <x:c r="B27" s="69"/>
      <x:c r="C27" s="69"/>
      <x:c r="D27" s="69"/>
      <x:c r="E27" s="69"/>
    </x:row>
    <x:row r="28">
      <x:c r="A28" s="74" t="str">
        <x:v>GTM proof point</x:v>
      </x:c>
      <x:c r="B28" s="74" t="str">
        <x:v>Answer</x:v>
      </x:c>
      <x:c r="C28" s="74" t="str">
        <x:v>Evidence / rationale</x:v>
      </x:c>
      <x:c r="D28" s="74" t="str">
        <x:v>Status</x:v>
      </x:c>
      <x:c r="E28" s="74" t="str">
        <x:v>Risk if wrong</x:v>
      </x:c>
    </x:row>
    <x:row r="29">
      <x:c r="A29" s="73" t="str">
        <x:v>Affordability decision</x:v>
      </x:c>
      <x:c r="B29" s="79" t="str">
        <x:f>IF(C23&gt;=0,"PASS - estimated CAC within budget","REMEDIATION - CAC exceeds budget")</x:f>
        <x:v>PASS - estimated CAC within budget</x:v>
      </x:c>
      <x:c r="C29" s="73" t="str">
        <x:v>CAC budget compared with estimated CAC.</x:v>
      </x:c>
      <x:c r="D29" s="73" t="str">
        <x:v>FORMULA</x:v>
      </x:c>
      <x:c r="E29" s="73" t="str">
        <x:v>If negative, narrow ICP or use founder-led pilots before hiring AE.</x:v>
      </x:c>
    </x:row>
    <x:row r="30">
      <x:c r="A30" s="73" t="str">
        <x:v>Pain Moment</x:v>
      </x:c>
      <x:c r="B30" s="73" t="str">
        <x:v>Between 09:00 and 11:00 after an overnight alert burst, a fraud analyst triages high-risk transactions in the existing fraud-operations alert investigation queue/dashboard and needs a grounded case package before manual disposition.</x:v>
      </x:c>
      <x:c r="C30" s="73" t="str">
        <x:v>P-015 business direction and analyst workflow; user-facing surface is the existing alert investigation queue/dashboard.</x:v>
      </x:c>
      <x:c r="D30" s="73" t="str">
        <x:v>EVIDENCE-ALIGNED</x:v>
      </x:c>
      <x:c r="E30" s="73" t="str">
        <x:v>Timing and task must be confirmed in customer interviews.</x:v>
      </x:c>
    </x:row>
    <x:row r="31">
      <x:c r="A31" s="73" t="str">
        <x:v>Integration surface</x:v>
      </x:c>
      <x:c r="B31" s="73" t="str">
        <x:v>Backend: Kafka fraud_alerts -&gt; fraud engine/agent -&gt; REST /api/v1/fraud/analyze. User-facing: existing fraud analyst alert investigation queue/dashboard side panel.</x:v>
      </x:c>
      <x:c r="C31" s="73" t="str">
        <x:v>P-015 architecture, API contract, case-management UI and deployment docs.</x:v>
      </x:c>
      <x:c r="D31" s="73" t="str">
        <x:v>PARTIAL / LOCAL</x:v>
      </x:c>
      <x:c r="E31" s="73" t="str">
        <x:v>Full live Kafka/ML integration is not currently verified.</x:v>
      </x:c>
    </x:row>
    <x:row r="32">
      <x:c r="A32" s="73" t="str">
        <x:v>Channel red-team</x:v>
      </x:c>
      <x:c r="B32" s="73" t="str">
        <x:v>Strongest counterargument: procurement and integration cycles can exceed 90 days.</x:v>
      </x:c>
      <x:c r="C32" s="73" t="str">
        <x:v>Sales-Led survives only with 2 design partners and a tightly scoped copilot pilot.</x:v>
      </x:c>
      <x:c r="D32" s="73" t="str">
        <x:v>PARTIAL</x:v>
      </x:c>
      <x:c r="E32" s="73" t="str">
        <x:v>Fallback is founder-led design partner motion, not a second primary channel.</x:v>
      </x:c>
    </x:row>
    <x:row r="33">
      <x:c r="A33" s="73" t="str">
        <x:v>Channel status</x:v>
      </x:c>
      <x:c r="B33" s="79" t="str">
        <x:f>IF(C6="Sales-Led","PASS - exactly one primary channel","FAIL - choose exactly one channel")</x:f>
        <x:v>PASS - exactly one primary channel</x:v>
      </x:c>
      <x:c r="C33" s="73" t="str">
        <x:v>Primary channel must remain exactly one.</x:v>
      </x:c>
      <x:c r="D33" s="73" t="str">
        <x:v>FORMULA</x:v>
      </x:c>
      <x:c r="E33" s="73" t="str">
        <x:v>Status gate for Day25.</x:v>
      </x:c>
    </x:row>
  </x:sheetData>
  <x:mergeCells>
    <x:mergeCell ref="A1:E1"/>
    <x:mergeCell ref="A2:E2"/>
    <x:mergeCell ref="A4:E4"/>
  </x:mergeCells>
  <x:conditionalFormatting sqref="C23:C23">
    <x:cfRule type="cellIs" dxfId="4" priority="1" operator="greaterThanOrEqual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16" hidden="0" customWidth="1"/>
    <x:col min="4" max="4" width="25" hidden="0" customWidth="1"/>
    <x:col min="5" max="5" width="42" hidden="0" customWidth="1"/>
    <x:col min="6" max="6" width="44" hidden="0" customWidth="1"/>
    <x:col min="7" max="7" width="22" hidden="0" customWidth="1"/>
  </x:cols>
  <x:sheetData>
    <x:row r="1" ht="28" customHeight="1">
      <x:c r="A1" s="100" t="str">
        <x:v>5 | 90-DAY PLAN: LEARN -&gt; LEVERAGE -&gt; EXPAND</x:v>
      </x:c>
      <x:c r="B1" s="100" t="str">
        <x:v>5 | 90-DAY PLAN: LEARN -&gt; LEVERAGE -&gt; EXPAND</x:v>
      </x:c>
      <x:c r="C1" s="100" t="str">
        <x:v>5 | 90-DAY PLAN: LEARN -&gt; LEVERAGE -&gt; EXPAND</x:v>
      </x:c>
      <x:c r="D1" s="100" t="str">
        <x:v>5 | 90-DAY PLAN: LEARN -&gt; LEVERAGE -&gt; EXPAND</x:v>
      </x:c>
      <x:c r="E1" s="100" t="str">
        <x:v>5 | 90-DAY PLAN: LEARN -&gt; LEVERAGE -&gt; EXPAND</x:v>
      </x:c>
      <x:c r="F1" s="100" t="str">
        <x:v>5 | 90-DAY PLAN: LEARN -&gt; LEVERAGE -&gt; EXPAND</x:v>
      </x:c>
      <x:c r="G1" s="100" t="str">
        <x:v>5 | 90-DAY PLAN: LEARN -&gt; LEVERAGE -&gt; EXPAND</x:v>
      </x:c>
    </x:row>
    <x:row r="2" ht="28" customHeight="1">
      <x:c r="A2" s="68" t="str">
        <x:v>Targets are plans, not achieved results. Month 4+ is an expansion gate and is explicitly outside the first 90-day commitment. Owner is the student only where the role is legitimate.</x:v>
      </x:c>
      <x:c r="B2" s="68" t="str">
        <x:v>Targets are plans, not achieved results. Month 4+ is an expansion gate and is explicitly outside the first 90-day commitment. Owner is the student only where the role is legitimate.</x:v>
      </x:c>
      <x:c r="C2" s="68" t="str">
        <x:v>Targets are plans, not achieved results. Month 4+ is an expansion gate and is explicitly outside the first 90-day commitment. Owner is the student only where the role is legitimate.</x:v>
      </x:c>
      <x:c r="D2" s="68" t="str">
        <x:v>Targets are plans, not achieved results. Month 4+ is an expansion gate and is explicitly outside the first 90-day commitment. Owner is the student only where the role is legitimate.</x:v>
      </x:c>
      <x:c r="E2" s="68" t="str">
        <x:v>Targets are plans, not achieved results. Month 4+ is an expansion gate and is explicitly outside the first 90-day commitment. Owner is the student only where the role is legitimate.</x:v>
      </x:c>
      <x:c r="F2" s="68" t="str">
        <x:v>Targets are plans, not achieved results. Month 4+ is an expansion gate and is explicitly outside the first 90-day commitment. Owner is the student only where the role is legitimate.</x:v>
      </x:c>
      <x:c r="G2" s="68" t="str">
        <x:v>Targets are plans, not achieved results. Month 4+ is an expansion gate and is explicitly outside the first 90-day commitment. Owner is the student only where the role is legitimate.</x:v>
      </x:c>
    </x:row>
    <x:row r="3">
      <x:c r="A3" s="69"/>
      <x:c r="B3" s="69"/>
      <x:c r="C3" s="69"/>
      <x:c r="D3" s="69"/>
      <x:c r="E3" s="69"/>
      <x:c r="F3" s="69"/>
      <x:c r="G3" s="69"/>
    </x:row>
    <x:row r="4">
      <x:c r="A4" s="74" t="str">
        <x:v>Phase</x:v>
      </x:c>
      <x:c r="B4" s="74" t="str">
        <x:v>Owner</x:v>
      </x:c>
      <x:c r="C4" s="74" t="str">
        <x:v>Deadline</x:v>
      </x:c>
      <x:c r="D4" s="74" t="str">
        <x:v>Metric</x:v>
      </x:c>
      <x:c r="E4" s="74" t="str">
        <x:v>Target</x:v>
      </x:c>
      <x:c r="F4" s="74" t="str">
        <x:v>Evidence produced</x:v>
      </x:c>
      <x:c r="G4" s="74" t="str">
        <x:v>Status</x:v>
      </x:c>
    </x:row>
    <x:row r="5">
      <x:c r="A5" s="97" t="str">
        <x:v>Month 1 - LEARN</x:v>
      </x:c>
      <x:c r="B5" s="73" t="str">
        <x:v>Nguyen Quang Huy</x:v>
      </x:c>
      <x:c r="C5" s="98" t="n">
        <x:v>46295</x:v>
      </x:c>
      <x:c r="D5" s="73" t="str">
        <x:v>Design partners</x:v>
      </x:c>
      <x:c r="E5" s="73" t="str">
        <x:v>2 targeted; not confirmed customers</x:v>
      </x:c>
      <x:c r="F5" s="73" t="str">
        <x:v>ICP shortlist + outreach log</x:v>
      </x:c>
      <x:c r="G5" s="80" t="str">
        <x:v>PLANNED</x:v>
      </x:c>
    </x:row>
    <x:row r="6">
      <x:c r="A6" s="97" t="str">
        <x:v>Month 1 - LEARN</x:v>
      </x:c>
      <x:c r="B6" s="73" t="str">
        <x:v>Nguyen Quang Huy</x:v>
      </x:c>
      <x:c r="C6" s="98" t="n">
        <x:v>46295</x:v>
      </x:c>
      <x:c r="D6" s="73" t="str">
        <x:v>Stakeholder interviews</x:v>
      </x:c>
      <x:c r="E6" s="73" t="str">
        <x:v>8 completed interviews</x:v>
      </x:c>
      <x:c r="F6" s="73" t="str">
        <x:v>Interview notes coded by pain moment</x:v>
      </x:c>
      <x:c r="G6" s="80" t="str">
        <x:v>PLANNED</x:v>
      </x:c>
    </x:row>
    <x:row r="7">
      <x:c r="A7" s="97" t="str">
        <x:v>Month 1 - LEARN</x:v>
      </x:c>
      <x:c r="B7" s="73" t="str">
        <x:v>Nguyen Quang Huy</x:v>
      </x:c>
      <x:c r="C7" s="98" t="n">
        <x:v>46295</x:v>
      </x:c>
      <x:c r="D7" s="73" t="str">
        <x:v>Evaluated jobs</x:v>
      </x:c>
      <x:c r="E7" s="73" t="str">
        <x:v>300 labeled alert investigations</x:v>
      </x:c>
      <x:c r="F7" s="73" t="str">
        <x:v>Case manifest + completion labels</x:v>
      </x:c>
      <x:c r="G7" s="80" t="str">
        <x:v>PLANNED</x:v>
      </x:c>
    </x:row>
    <x:row r="8">
      <x:c r="A8" s="97" t="str">
        <x:v>Month 1 - LEARN</x:v>
      </x:c>
      <x:c r="B8" s="73" t="str">
        <x:v>Nguyen Quang Huy</x:v>
      </x:c>
      <x:c r="C8" s="98" t="n">
        <x:v>46295</x:v>
      </x:c>
      <x:c r="D8" s="73" t="str">
        <x:v>Failure modes</x:v>
      </x:c>
      <x:c r="E8" s="73" t="str">
        <x:v>Top 5 failure modes with owners</x:v>
      </x:c>
      <x:c r="F8" s="73" t="str">
        <x:v>Failure taxonomy + remediation backlog</x:v>
      </x:c>
      <x:c r="G8" s="80" t="str">
        <x:v>PLANNED</x:v>
      </x:c>
    </x:row>
    <x:row r="9">
      <x:c r="A9" s="97" t="str">
        <x:v>Month 1 - LEARN</x:v>
      </x:c>
      <x:c r="B9" s="73" t="str">
        <x:v>Nguyen Quang Huy</x:v>
      </x:c>
      <x:c r="C9" s="98" t="n">
        <x:v>46295</x:v>
      </x:c>
      <x:c r="D9" s="73" t="str">
        <x:v>Evidence improvement</x:v>
      </x:c>
      <x:c r="E9" s="73" t="str">
        <x:v>Baseline p50/p95 latency and time-on-task recorded</x:v>
      </x:c>
      <x:c r="F9" s="73" t="str">
        <x:v>Before/after measurement protocol</x:v>
      </x:c>
      <x:c r="G9" s="80" t="str">
        <x:v>PLANNED</x:v>
      </x:c>
    </x:row>
    <x:row r="10">
      <x:c r="A10" s="97" t="str">
        <x:v>Months 2-3 - LEVERAGE</x:v>
      </x:c>
      <x:c r="B10" s="73" t="str">
        <x:v>Nguyen Quang Huy</x:v>
      </x:c>
      <x:c r="C10" s="98" t="n">
        <x:v>46356</x:v>
      </x:c>
      <x:c r="D10" s="73" t="str">
        <x:v>Pilot customers</x:v>
      </x:c>
      <x:c r="E10" s="73" t="str">
        <x:v>2 paid or design-partner pilots targeted</x:v>
      </x:c>
      <x:c r="F10" s="73" t="str">
        <x:v>Pilot agreements / scope records</x:v>
      </x:c>
      <x:c r="G10" s="80" t="str">
        <x:v>PLANNED</x:v>
      </x:c>
    </x:row>
    <x:row r="11">
      <x:c r="A11" s="97" t="str">
        <x:v>Months 2-3 - LEVERAGE</x:v>
      </x:c>
      <x:c r="B11" s="73" t="str">
        <x:v>Nguyen Quang Huy</x:v>
      </x:c>
      <x:c r="C11" s="98" t="n">
        <x:v>46356</x:v>
      </x:c>
      <x:c r="D11" s="73" t="str">
        <x:v>Evaluated jobs</x:v>
      </x:c>
      <x:c r="E11" s="73" t="str">
        <x:v>6,000 jobs across pilot scope</x:v>
      </x:c>
      <x:c r="F11" s="73" t="str">
        <x:v>Versioned eval report</x:v>
      </x:c>
      <x:c r="G11" s="80" t="str">
        <x:v>PLANNED</x:v>
      </x:c>
    </x:row>
    <x:row r="12">
      <x:c r="A12" s="97" t="str">
        <x:v>Months 2-3 - LEVERAGE</x:v>
      </x:c>
      <x:c r="B12" s="73" t="str">
        <x:v>Nguyen Quang Huy</x:v>
      </x:c>
      <x:c r="C12" s="98" t="n">
        <x:v>46356</x:v>
      </x:c>
      <x:c r="D12" s="73" t="str">
        <x:v>Package completion</x:v>
      </x:c>
      <x:c r="E12" s="73" t="str">
        <x:v>&gt;=85% measured commercial package completion</x:v>
      </x:c>
      <x:c r="F12" s="73" t="str">
        <x:v>Completion log with denominator; autonomous containment and escalation reported separately</x:v>
      </x:c>
      <x:c r="G12" s="80" t="str">
        <x:v>PLANNED</x:v>
      </x:c>
    </x:row>
    <x:row r="13">
      <x:c r="A13" s="97" t="str">
        <x:v>Months 2-3 - LEVERAGE</x:v>
      </x:c>
      <x:c r="B13" s="73" t="str">
        <x:v>Nguyen Quang Huy</x:v>
      </x:c>
      <x:c r="C13" s="98" t="n">
        <x:v>46356</x:v>
      </x:c>
      <x:c r="D13" s="73" t="str">
        <x:v>Blended GM</x:v>
      </x:c>
      <x:c r="E13" s="73" t="str">
        <x:v>&gt;=70% after telemetry</x:v>
      </x:c>
      <x:c r="F13" s="73" t="str">
        <x:v>Cost ledger + monthly margin review</x:v>
      </x:c>
      <x:c r="G13" s="80" t="str">
        <x:v>PLANNED</x:v>
      </x:c>
    </x:row>
    <x:row r="14">
      <x:c r="A14" s="97" t="str">
        <x:v>Months 2-3 - LEVERAGE</x:v>
      </x:c>
      <x:c r="B14" s="73" t="str">
        <x:v>Nguyen Quang Huy</x:v>
      </x:c>
      <x:c r="C14" s="98" t="n">
        <x:v>46356</x:v>
      </x:c>
      <x:c r="D14" s="73" t="str">
        <x:v>CAC</x:v>
      </x:c>
      <x:c r="E14" s="73" t="str">
        <x:v>&lt;=350,000,000 VND/customer</x:v>
      </x:c>
      <x:c r="F14" s="73" t="str">
        <x:v>CRM funnel and won-deal cost</x:v>
      </x:c>
      <x:c r="G14" s="80" t="str">
        <x:v>PLANNED</x:v>
      </x:c>
    </x:row>
    <x:row r="15">
      <x:c r="A15" s="97" t="str">
        <x:v>Months 2-3 - LEVERAGE</x:v>
      </x:c>
      <x:c r="B15" s="73" t="str">
        <x:v>Nguyen Quang Huy</x:v>
      </x:c>
      <x:c r="C15" s="98" t="n">
        <x:v>46356</x:v>
      </x:c>
      <x:c r="D15" s="73" t="str">
        <x:v>Sales-led KPI</x:v>
      </x:c>
      <x:c r="E15" s="73" t="str">
        <x:v>12 qualified opps and 3 wins target</x:v>
      </x:c>
      <x:c r="F15" s="73" t="str">
        <x:v>Pipeline report</x:v>
      </x:c>
      <x:c r="G15" s="80" t="str">
        <x:v>PLANNED</x:v>
      </x:c>
    </x:row>
    <x:row r="16">
      <x:c r="A16" s="97" t="str">
        <x:v>Month 4+ - EXPAND</x:v>
      </x:c>
      <x:c r="B16" s="73" t="str">
        <x:v>Nguyen Quang Huy</x:v>
      </x:c>
      <x:c r="C16" s="98" t="n">
        <x:v>46418</x:v>
      </x:c>
      <x:c r="D16" s="73" t="str">
        <x:v>Expansion gate</x:v>
      </x:c>
      <x:c r="E16" s="73" t="str">
        <x:v>Only after &gt;=85% completion, 2 paying customers and security gap closure</x:v>
      </x:c>
      <x:c r="F16" s="73" t="str">
        <x:v>Expansion decision memo</x:v>
      </x:c>
      <x:c r="G16" s="80" t="str">
        <x:v>NOT IN FIRST 90 DAYS</x:v>
      </x:c>
    </x:row>
    <x:row r="17">
      <x:c r="A17" s="97" t="str">
        <x:v>Month 4+ - EXPAND</x:v>
      </x:c>
      <x:c r="B17" s="73" t="str">
        <x:v>Nguyen Quang Huy</x:v>
      </x:c>
      <x:c r="C17" s="98" t="n">
        <x:v>46418</x:v>
      </x:c>
      <x:c r="D17" s="73" t="str">
        <x:v>Next niche</x:v>
      </x:c>
      <x:c r="E17" s="73" t="str">
        <x:v>Payment processors with multi-merchant queues</x:v>
      </x:c>
      <x:c r="F17" s="73" t="str">
        <x:v>ICP extension hypothesis</x:v>
      </x:c>
      <x:c r="G17" s="80" t="str">
        <x:v>NOT IN FIRST 90 DAYS</x:v>
      </x:c>
    </x:row>
    <x:row r="18">
      <x:c r="A18" s="97" t="str">
        <x:v>Month 4+ - EXPAND</x:v>
      </x:c>
      <x:c r="B18" s="73" t="str">
        <x:v>Nguyen Quang Huy</x:v>
      </x:c>
      <x:c r="C18" s="98" t="n">
        <x:v>46418</x:v>
      </x:c>
      <x:c r="D18" s="73" t="str">
        <x:v>Trigger</x:v>
      </x:c>
      <x:c r="E18" s="73" t="str">
        <x:v>Pilot evidence and procurement checklist pass</x:v>
      </x:c>
      <x:c r="F18" s="73" t="str">
        <x:v>Signed gate review</x:v>
      </x:c>
      <x:c r="G18" s="80" t="str">
        <x:v>NOT IN FIRST 90 DAYS</x:v>
      </x:c>
    </x:row>
    <x:row r="19">
      <x:c r="A19" s="97" t="str">
        <x:v>Plan control</x:v>
      </x:c>
      <x:c r="B19" s="73" t="str">
        <x:v>Nguyen Quang Huy</x:v>
      </x:c>
      <x:c r="C19" s="98" t="n">
        <x:v>46270</x:v>
      </x:c>
      <x:c r="D19" s="73" t="str">
        <x:v>Primary channel</x:v>
      </x:c>
      <x:c r="E19" s="73" t="str">
        <x:v>Sales-Led only</x:v>
      </x:c>
      <x:c r="F19" s="73" t="str">
        <x:v>Channel decision log</x:v>
      </x:c>
      <x:c r="G19" s="80" t="str">
        <x:v>CONTROL</x:v>
      </x:c>
    </x:row>
  </x:sheetData>
  <x:mergeCells>
    <x:mergeCell ref="A1:G1"/>
    <x:mergeCell ref="A2:G2"/>
  </x:mergeCells>
  <x:dataValidations count="1">
    <x:dataValidation type="list" sqref="G5:G19">
      <x:formula1>"PLANNED,IN PROGRESS,COMPLETE,NOT IN FIRST 90 DAYS,BLOCKED,CONTROL"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7" hidden="0" customWidth="1"/>
    <x:col min="5" max="5" width="24" hidden="0" customWidth="1"/>
    <x:col min="6" max="6" width="27" hidden="0" customWidth="1"/>
    <x:col min="7" max="7" width="28" hidden="0" customWidth="1"/>
    <x:col min="8" max="8" width="48" hidden="0" customWidth="1"/>
    <x:col min="9" max="9" width="16" hidden="0" customWidth="1"/>
    <x:col min="10" max="10" width="58" hidden="0" customWidth="1"/>
  </x:cols>
  <x:sheetData>
    <x:row r="1" ht="28" customHeight="1">
      <x:c r="A1" s="100" t="str">
        <x:v>6 | CURRENT FIRST-PARTY BENCHMARKS</x:v>
      </x:c>
      <x:c r="B1" s="100" t="str">
        <x:v>6 | CURRENT FIRST-PARTY BENCHMARKS</x:v>
      </x:c>
      <x:c r="C1" s="100" t="str">
        <x:v>6 | CURRENT FIRST-PARTY BENCHMARKS</x:v>
      </x:c>
      <x:c r="D1" s="100" t="str">
        <x:v>6 | CURRENT FIRST-PARTY BENCHMARKS</x:v>
      </x:c>
      <x:c r="E1" s="100" t="str">
        <x:v>6 | CURRENT FIRST-PARTY BENCHMARKS</x:v>
      </x:c>
      <x:c r="F1" s="100" t="str">
        <x:v>6 | CURRENT FIRST-PARTY BENCHMARKS</x:v>
      </x:c>
      <x:c r="G1" s="100" t="str">
        <x:v>6 | CURRENT FIRST-PARTY BENCHMARKS</x:v>
      </x:c>
      <x:c r="H1" s="100" t="str">
        <x:v>6 | CURRENT FIRST-PARTY BENCHMARKS</x:v>
      </x:c>
      <x:c r="I1" s="100" t="str">
        <x:v>6 | CURRENT FIRST-PARTY BENCHMARKS</x:v>
      </x:c>
      <x:c r="J1" s="100" t="str">
        <x:v>6 | CURRENT FIRST-PARTY BENCHMARKS</x:v>
      </x:c>
    </x:row>
    <x:row r="2" ht="28" customHeight="1">
      <x:c r="A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B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C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D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E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F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G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H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I2" s="68" t="str">
        <x:v>Checked 2026-08-27. Benchmarks are adjacent fraud/risk products, not exact substitutes for P-015 investigation work. Published list/starting prices are recorded without pretending custom enterprise pricing is public.</x:v>
      </x:c>
      <x:c r="J2" s="68" t="str">
        <x:v>Checked 2026-08-27. Benchmarks are adjacent fraud/risk products, not exact substitutes for P-015 investigation work. Published list/starting prices are recorded without pretending custom enterprise pricing is public.</x:v>
      </x:c>
    </x:row>
    <x:row r="3">
      <x:c r="A3" s="69"/>
      <x:c r="B3" s="69"/>
      <x:c r="C3" s="69"/>
      <x:c r="D3" s="69"/>
      <x:c r="E3" s="69"/>
      <x:c r="F3" s="69"/>
      <x:c r="G3" s="69"/>
      <x:c r="H3" s="69"/>
      <x:c r="I3" s="69"/>
      <x:c r="J3" s="69"/>
    </x:row>
    <x:row r="4">
      <x:c r="A4" s="74" t="str">
        <x:v>Product</x:v>
      </x:c>
      <x:c r="B4" s="74" t="str">
        <x:v>Comparable job</x:v>
      </x:c>
      <x:c r="C4" s="74" t="str">
        <x:v>Value metric</x:v>
      </x:c>
      <x:c r="D4" s="74" t="str">
        <x:v>Published price</x:v>
      </x:c>
      <x:c r="E4" s="74" t="str">
        <x:v>Currency</x:v>
      </x:c>
      <x:c r="F4" s="74" t="str">
        <x:v>Billing unit</x:v>
      </x:c>
      <x:c r="G4" s="74" t="str">
        <x:v>Source URL</x:v>
      </x:c>
      <x:c r="H4" s="74" t="str">
        <x:v>Date checked</x:v>
      </x:c>
      <x:c r="I4" s="74" t="str">
        <x:v>List / promo status</x:v>
      </x:c>
      <x:c r="J4" s="74" t="str">
        <x:v>Notes</x:v>
      </x:c>
    </x:row>
    <x:row r="5">
      <x:c r="A5" s="73" t="str">
        <x:v>Stripe Radar</x:v>
      </x:c>
      <x:c r="B5" s="73" t="str">
        <x:v>Automated transaction fraud screening and fraud alerts</x:v>
      </x:c>
      <x:c r="C5" s="73" t="str">
        <x:v>Plan subscription plus transaction evaluation / pay-as-you-go</x:v>
      </x:c>
      <x:c r="D5" s="73" t="str">
        <x:v>Radar Standard starting at $10/month; Radar Plus $14/month; Radar Pro $20/month for business pricing shown</x:v>
      </x:c>
      <x:c r="E5" s="73" t="str">
        <x:v>USD</x:v>
      </x:c>
      <x:c r="F5" s="73" t="str">
        <x:v>subscription / evaluated transaction</x:v>
      </x:c>
      <x:c r="G5" s="99" t="str">
        <x:v>https://stripe.com/radar/pricing</x:v>
      </x:c>
      <x:c r="H5" s="98" t="n">
        <x:v>46261</x:v>
      </x:c>
      <x:c r="I5" s="73" t="str">
        <x:v>Starting/list price shown</x:v>
      </x:c>
      <x:c r="J5" s="73" t="str">
        <x:v>Relevant fraud-budget anchor; P-015 is a deeper investigation copilot, so do not benchmark 1:1.</x:v>
      </x:c>
    </x:row>
    <x:row r="6">
      <x:c r="A6" s="73" t="str">
        <x:v>Fingerprint Pro Plus</x:v>
      </x:c>
      <x:c r="B6" s="73" t="str">
        <x:v>Browser/mobile device identification and fraud signals</x:v>
      </x:c>
      <x:c r="C6" s="73" t="str">
        <x:v>API request / identification</x:v>
      </x:c>
      <x:c r="D6" s="73" t="str">
        <x:v>$99/month for 20K API calls; then $4 per 1,000 additional API calls</x:v>
      </x:c>
      <x:c r="E6" s="73" t="str">
        <x:v>USD</x:v>
      </x:c>
      <x:c r="F6" s="73" t="str">
        <x:v>API call</x:v>
      </x:c>
      <x:c r="G6" s="99" t="str">
        <x:v>https://fingerprint.com/pricing/</x:v>
      </x:c>
      <x:c r="H6" s="98" t="n">
        <x:v>46261</x:v>
      </x:c>
      <x:c r="I6" s="73" t="str">
        <x:v>Starting/list price shown</x:v>
      </x:c>
      <x:c r="J6" s="73" t="str">
        <x:v>Closest public usage unit: risk signal generation. Enterprise is custom.</x:v>
      </x:c>
    </x:row>
    <x:row r="7">
      <x:c r="A7" s="69"/>
      <x:c r="B7" s="69"/>
      <x:c r="C7" s="69"/>
      <x:c r="D7" s="69"/>
      <x:c r="E7" s="69"/>
      <x:c r="F7" s="69"/>
      <x:c r="G7" s="69"/>
      <x:c r="H7" s="69"/>
      <x:c r="I7" s="69"/>
      <x:c r="J7" s="69"/>
    </x:row>
    <x:row r="8" ht="22" customHeight="1">
      <x:c r="A8" s="71" t="str">
        <x:v>Vendor pricing used in Cost/Job model</x:v>
      </x:c>
      <x:c r="B8" s="71" t="str">
        <x:v>Vendor pricing used in Cost/Job model</x:v>
      </x:c>
      <x:c r="C8" s="71" t="str">
        <x:v>Vendor pricing used in Cost/Job model</x:v>
      </x:c>
      <x:c r="D8" s="71" t="str">
        <x:v>Vendor pricing used in Cost/Job model</x:v>
      </x:c>
      <x:c r="E8" s="71" t="str">
        <x:v>Vendor pricing used in Cost/Job model</x:v>
      </x:c>
      <x:c r="F8" s="71" t="str">
        <x:v>Vendor pricing used in Cost/Job model</x:v>
      </x:c>
      <x:c r="G8" s="71" t="str">
        <x:v>Vendor pricing used in Cost/Job model</x:v>
      </x:c>
      <x:c r="H8" s="71" t="str">
        <x:v>Vendor pricing used in Cost/Job model</x:v>
      </x:c>
      <x:c r="I8" s="71" t="str">
        <x:v>Vendor pricing used in Cost/Job model</x:v>
      </x:c>
      <x:c r="J8" s="71" t="str">
        <x:v>Vendor pricing used in Cost/Job model</x:v>
      </x:c>
    </x:row>
    <x:row r="9">
      <x:c r="A9" s="74" t="str">
        <x:v>Vendor</x:v>
      </x:c>
      <x:c r="B9" s="74" t="str">
        <x:v>Product/model</x:v>
      </x:c>
      <x:c r="C9" s="74" t="str">
        <x:v>Input price</x:v>
      </x:c>
      <x:c r="D9" s="74" t="str">
        <x:v>Cached input price</x:v>
      </x:c>
      <x:c r="E9" s="74" t="str">
        <x:v>Output price</x:v>
      </x:c>
      <x:c r="F9" s="74" t="str">
        <x:v>Batch price</x:v>
      </x:c>
      <x:c r="G9" s="74" t="str">
        <x:v>Unit</x:v>
      </x:c>
      <x:c r="H9" s="74" t="str">
        <x:v>Source</x:v>
      </x:c>
      <x:c r="I9" s="74" t="str">
        <x:v>Date checked</x:v>
      </x:c>
      <x:c r="J9" s="74" t="str">
        <x:v>Verification note</x:v>
      </x:c>
    </x:row>
    <x:row r="10">
      <x:c r="A10" s="73" t="str">
        <x:v>OpenAI</x:v>
      </x:c>
      <x:c r="B10" s="73" t="str">
        <x:v>gpt-5.5 Standard short context</x:v>
      </x:c>
      <x:c r="C10" s="73" t="n">
        <x:v>5</x:v>
      </x:c>
      <x:c r="D10" s="73" t="n">
        <x:v>0.5</x:v>
      </x:c>
      <x:c r="E10" s="73" t="n">
        <x:v>30</x:v>
      </x:c>
      <x:c r="F10" s="73" t="str">
        <x:v>Input $2.50 / Output $15.00</x:v>
      </x:c>
      <x:c r="G10" s="73" t="str">
        <x:v>USD / 1M tokens</x:v>
      </x:c>
      <x:c r="H10" s="99" t="str">
        <x:v>https://developers.openai.com/api/docs/models/gpt-5.5</x:v>
      </x:c>
      <x:c r="I10" s="98" t="n">
        <x:v>46261</x:v>
      </x:c>
      <x:c r="J10" s="73" t="str">
        <x:v>Current page lists gpt-5.5 standard input $5, cached input $0.50, output $30; batch input $2.50 and output $15.00.</x:v>
      </x:c>
    </x:row>
    <x:row r="11">
      <x:c r="A11" s="73" t="str">
        <x:v>Supabase</x:v>
      </x:c>
      <x:c r="B11" s="73" t="str">
        <x:v>Pro plan</x:v>
      </x:c>
      <x:c r="C11" s="73" t="n">
        <x:v>25</x:v>
      </x:c>
      <x:c r="D11" s="73"/>
      <x:c r="E11" s="73"/>
      <x:c r="F11" s="73"/>
      <x:c r="G11" s="73" t="str">
        <x:v>USD / month</x:v>
      </x:c>
      <x:c r="H11" s="99" t="str">
        <x:v>https://supabase.com/pricing</x:v>
      </x:c>
      <x:c r="I11" s="98" t="n">
        <x:v>46261</x:v>
      </x:c>
      <x:c r="J11" s="73" t="str">
        <x:v>Used only as a direct-infra anchor; model allocates additional app/compute/logging reserve.</x:v>
      </x:c>
    </x:row>
    <x:row r="12">
      <x:c r="A12" s="73" t="str">
        <x:v>P-015 local eval</x:v>
      </x:c>
      <x:c r="B12" s="73" t="str">
        <x:v>Deterministic fallback path</x:v>
      </x:c>
      <x:c r="C12" s="73" t="n">
        <x:v>0</x:v>
      </x:c>
      <x:c r="D12" s="73" t="n">
        <x:v>0</x:v>
      </x:c>
      <x:c r="E12" s="73" t="n">
        <x:v>0</x:v>
      </x:c>
      <x:c r="F12" s="73" t="str">
        <x:v>N/A</x:v>
      </x:c>
      <x:c r="G12" s="73" t="str">
        <x:v>local run</x:v>
      </x:c>
      <x:c r="H12" s="99" t="str">
        <x:v>P-015/artifacts/agent/agent_metrics.json</x:v>
      </x:c>
      <x:c r="I12" s="98" t="n">
        <x:v>46247</x:v>
      </x:c>
      <x:c r="J12" s="73" t="str">
        <x:v>0 ms LLM latency is evidence that the local evaluator made no remote LLM call; not a production cost claim.</x:v>
      </x:c>
    </x:row>
    <x:row r="13">
      <x:c r="A13" s="73" t="str">
        <x:v>Model-control rule</x:v>
      </x:c>
      <x:c r="B13" s="73" t="str">
        <x:v>Optional LLM base case</x:v>
      </x:c>
      <x:c r="C13" s="73"/>
      <x:c r="D13" s="73"/>
      <x:c r="E13" s="73"/>
      <x:c r="F13" s="73" t="str">
        <x:v>Batch not in base</x:v>
      </x:c>
      <x:c r="G13" s="73" t="str">
        <x:v>decision</x:v>
      </x:c>
      <x:c r="H13" s="99" t="str">
        <x:v>P-015/docs/ai_fraud_agent.md</x:v>
      </x:c>
      <x:c r="I13" s="98" t="n">
        <x:v>46261</x:v>
      </x:c>
      <x:c r="J13" s="73" t="str">
        <x:v>Use realtime standard pricing until latency and batch eligibility are measured.</x:v>
      </x:c>
    </x:row>
  </x:sheetData>
  <x:mergeCells>
    <x:mergeCell ref="A1:J1"/>
    <x:mergeCell ref="A2:J2"/>
    <x:mergeCell ref="A8:J8"/>
  </x:mergeCells>
  <x:pageMargins left="0.7" right="0.7" top="0.75" bottom="0.75" header="0.3" footer="0.3"/>
</x:worksheet>
</file>